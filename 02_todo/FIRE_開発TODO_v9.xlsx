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fujiwara\Downloads\"/>
    </mc:Choice>
  </mc:AlternateContent>
  <xr:revisionPtr revIDLastSave="0" documentId="8_{389604C6-536F-44B9-87FE-CD05BBAD87A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TODO_Master" sheetId="2" r:id="rId2"/>
    <sheet name="Phase_Summary" sheetId="3" r:id="rId3"/>
    <sheet name="開発・運用フェーズ計画" sheetId="4" r:id="rId4"/>
    <sheet name="Agent_Checklist" sheetId="5" r:id="rId5"/>
    <sheet name="Stage_Gate" sheetId="6" r:id="rId6"/>
    <sheet name="Roadmap" sheetId="7" r:id="rId7"/>
    <sheet name="Risk_Holes" sheetId="8" r:id="rId8"/>
    <sheet name="RTM_要件カバレッジ" sheetId="9" r:id="rId9"/>
    <sheet name="RTM_章別サマリー" sheetId="10" r:id="rId10"/>
  </sheets>
  <definedNames>
    <definedName name="_xlnm._FilterDatabase" localSheetId="8" hidden="1">RTM_要件カバレッジ!$A$4:$F$332</definedName>
    <definedName name="_xlnm._FilterDatabase" localSheetId="1" hidden="1">TODO_Master!$A$1:$O$137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0" l="1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3" i="10" s="1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D26" i="10" s="1"/>
  <c r="F26" i="10" s="1"/>
  <c r="F5" i="9"/>
  <c r="D40" i="10" s="1"/>
  <c r="F40" i="10" s="1"/>
  <c r="E22" i="3"/>
  <c r="D22" i="3"/>
  <c r="C22" i="3"/>
  <c r="F22" i="3" s="1"/>
  <c r="B22" i="3"/>
  <c r="E21" i="3"/>
  <c r="D21" i="3"/>
  <c r="C21" i="3"/>
  <c r="F21" i="3" s="1"/>
  <c r="B21" i="3"/>
  <c r="E20" i="3"/>
  <c r="D20" i="3"/>
  <c r="C20" i="3"/>
  <c r="F20" i="3" s="1"/>
  <c r="B20" i="3"/>
  <c r="E19" i="3"/>
  <c r="D19" i="3"/>
  <c r="C19" i="3"/>
  <c r="B19" i="3"/>
  <c r="F19" i="3" s="1"/>
  <c r="E13" i="3"/>
  <c r="D13" i="3"/>
  <c r="C13" i="3"/>
  <c r="F13" i="3" s="1"/>
  <c r="B13" i="3"/>
  <c r="E12" i="3"/>
  <c r="D12" i="3"/>
  <c r="C12" i="3"/>
  <c r="F12" i="3" s="1"/>
  <c r="B12" i="3"/>
  <c r="E11" i="3"/>
  <c r="D11" i="3"/>
  <c r="C11" i="3"/>
  <c r="F11" i="3" s="1"/>
  <c r="B11" i="3"/>
  <c r="E10" i="3"/>
  <c r="D10" i="3"/>
  <c r="C10" i="3"/>
  <c r="F10" i="3" s="1"/>
  <c r="B10" i="3"/>
  <c r="E9" i="3"/>
  <c r="D9" i="3"/>
  <c r="C9" i="3"/>
  <c r="F9" i="3" s="1"/>
  <c r="B9" i="3"/>
  <c r="E8" i="3"/>
  <c r="D8" i="3"/>
  <c r="C8" i="3"/>
  <c r="F8" i="3" s="1"/>
  <c r="B8" i="3"/>
  <c r="F7" i="3"/>
  <c r="E7" i="3"/>
  <c r="D7" i="3"/>
  <c r="C7" i="3"/>
  <c r="B7" i="3"/>
  <c r="F6" i="3"/>
  <c r="E6" i="3"/>
  <c r="D6" i="3"/>
  <c r="C6" i="3"/>
  <c r="B6" i="3"/>
  <c r="E5" i="3"/>
  <c r="D5" i="3"/>
  <c r="C5" i="3"/>
  <c r="B5" i="3"/>
  <c r="F5" i="3" s="1"/>
  <c r="F4" i="3"/>
  <c r="E4" i="3"/>
  <c r="E14" i="3" s="1"/>
  <c r="D4" i="3"/>
  <c r="D14" i="3" s="1"/>
  <c r="C4" i="3"/>
  <c r="C14" i="3" s="1"/>
  <c r="B4" i="3"/>
  <c r="B14" i="3" s="1"/>
  <c r="F14" i="3" l="1"/>
  <c r="E26" i="10"/>
  <c r="E40" i="10"/>
  <c r="D9" i="10"/>
  <c r="F9" i="10" s="1"/>
  <c r="D16" i="10"/>
  <c r="F16" i="10" s="1"/>
  <c r="D23" i="10"/>
  <c r="D30" i="10"/>
  <c r="D37" i="10"/>
  <c r="D6" i="10"/>
  <c r="F6" i="10" s="1"/>
  <c r="D13" i="10"/>
  <c r="F13" i="10" s="1"/>
  <c r="D20" i="10"/>
  <c r="F20" i="10" s="1"/>
  <c r="D27" i="10"/>
  <c r="F27" i="10" s="1"/>
  <c r="D34" i="10"/>
  <c r="F34" i="10" s="1"/>
  <c r="D41" i="10"/>
  <c r="F41" i="10" s="1"/>
  <c r="D10" i="10"/>
  <c r="F10" i="10" s="1"/>
  <c r="D17" i="10"/>
  <c r="D24" i="10"/>
  <c r="F24" i="10" s="1"/>
  <c r="D31" i="10"/>
  <c r="F31" i="10" s="1"/>
  <c r="D38" i="10"/>
  <c r="D7" i="10"/>
  <c r="D14" i="10"/>
  <c r="D21" i="10"/>
  <c r="D28" i="10"/>
  <c r="D35" i="10"/>
  <c r="D42" i="10"/>
  <c r="F42" i="10" s="1"/>
  <c r="D11" i="10"/>
  <c r="F11" i="10" s="1"/>
  <c r="D18" i="10"/>
  <c r="F18" i="10" s="1"/>
  <c r="D25" i="10"/>
  <c r="F25" i="10" s="1"/>
  <c r="D32" i="10"/>
  <c r="F32" i="10" s="1"/>
  <c r="D39" i="10"/>
  <c r="F39" i="10" s="1"/>
  <c r="D8" i="10"/>
  <c r="F8" i="10" s="1"/>
  <c r="D15" i="10"/>
  <c r="F15" i="10" s="1"/>
  <c r="D22" i="10"/>
  <c r="F22" i="10" s="1"/>
  <c r="D29" i="10"/>
  <c r="F29" i="10" s="1"/>
  <c r="D36" i="10"/>
  <c r="F36" i="10" s="1"/>
  <c r="D5" i="10"/>
  <c r="D12" i="10"/>
  <c r="F12" i="10" s="1"/>
  <c r="D19" i="10"/>
  <c r="F19" i="10" s="1"/>
  <c r="D33" i="10"/>
  <c r="F33" i="10" s="1"/>
  <c r="F17" i="10" l="1"/>
  <c r="E17" i="10"/>
  <c r="E41" i="10"/>
  <c r="E36" i="10"/>
  <c r="F35" i="10"/>
  <c r="E35" i="10"/>
  <c r="F7" i="10"/>
  <c r="E7" i="10"/>
  <c r="E27" i="10"/>
  <c r="E22" i="10"/>
  <c r="E13" i="10"/>
  <c r="E8" i="10"/>
  <c r="D43" i="10"/>
  <c r="F43" i="10" s="1"/>
  <c r="F5" i="10"/>
  <c r="E34" i="10"/>
  <c r="E20" i="10"/>
  <c r="E12" i="10"/>
  <c r="E6" i="10"/>
  <c r="E24" i="10"/>
  <c r="E29" i="10"/>
  <c r="F28" i="10"/>
  <c r="E28" i="10"/>
  <c r="E15" i="10"/>
  <c r="E33" i="10"/>
  <c r="F21" i="10"/>
  <c r="E21" i="10"/>
  <c r="F37" i="10"/>
  <c r="E37" i="10"/>
  <c r="E39" i="10"/>
  <c r="E19" i="10"/>
  <c r="F30" i="10"/>
  <c r="E30" i="10"/>
  <c r="E25" i="10"/>
  <c r="E42" i="10"/>
  <c r="F23" i="10"/>
  <c r="E23" i="10"/>
  <c r="E11" i="10"/>
  <c r="E32" i="10"/>
  <c r="E18" i="10"/>
  <c r="E10" i="10"/>
  <c r="E16" i="10"/>
  <c r="F14" i="10"/>
  <c r="E14" i="10"/>
  <c r="F38" i="10"/>
  <c r="E38" i="10"/>
  <c r="E5" i="10"/>
  <c r="E9" i="10"/>
  <c r="E31" i="10"/>
  <c r="E43" i="10" l="1"/>
</calcChain>
</file>

<file path=xl/sharedStrings.xml><?xml version="1.0" encoding="utf-8"?>
<sst xmlns="http://schemas.openxmlformats.org/spreadsheetml/2006/main" count="3680" uniqueCount="2116">
  <si>
    <t>FIRE 統合要件書 v3.1 — 全開発TODO管理表</t>
  </si>
  <si>
    <t>作成日</t>
  </si>
  <si>
    <t>2026-04-21</t>
  </si>
  <si>
    <t>対象要件書</t>
  </si>
  <si>
    <t>FIRE 統合要件書 v3.1（製本版）</t>
  </si>
  <si>
    <t>開発環境</t>
  </si>
  <si>
    <t>初期: Windows PC(全ロジック開発) / Mac mini M4 Pro 到着後: 常駐運用基盤へ移行</t>
  </si>
  <si>
    <t>管理方針</t>
  </si>
  <si>
    <t>Git + Obsidian + .md で開発進捗を可視化、タスク完了時に必ずクローズ</t>
  </si>
  <si>
    <t>■ シート構成</t>
  </si>
  <si>
    <t>README</t>
  </si>
  <si>
    <t>本シート（凡例・使い方）</t>
  </si>
  <si>
    <t>TODO_Master</t>
  </si>
  <si>
    <t>全開発タスク一覧（メインシート）</t>
  </si>
  <si>
    <t>Phase_Summary</t>
  </si>
  <si>
    <t>フェーズ別サマリー（進捗集計）</t>
  </si>
  <si>
    <t>Agent_Checklist</t>
  </si>
  <si>
    <t>10エージェント別の実装チェックリスト</t>
  </si>
  <si>
    <t>Stage_Gate</t>
  </si>
  <si>
    <t>Stage 0→4 昇格ゲートチェックリスト</t>
  </si>
  <si>
    <t>Roadmap</t>
  </si>
  <si>
    <t>M-3 〜 M+3 立ち上げロードマップ</t>
  </si>
  <si>
    <t>Risk_Holes</t>
  </si>
  <si>
    <t>穴1〜11（要件書で特定された落とし穴）対策チェック</t>
  </si>
  <si>
    <t>■ ステータス定義</t>
  </si>
  <si>
    <t>未着手</t>
  </si>
  <si>
    <t>まだ着手していない</t>
  </si>
  <si>
    <t>設計中</t>
  </si>
  <si>
    <t>設計・検討フェーズ</t>
  </si>
  <si>
    <t>実装中</t>
  </si>
  <si>
    <t>コード実装中</t>
  </si>
  <si>
    <t>検証中</t>
  </si>
  <si>
    <t>テスト・Simulation検証中</t>
  </si>
  <si>
    <t>レビュー待ち</t>
  </si>
  <si>
    <t>ユーザー承認待ち</t>
  </si>
  <si>
    <t>完了</t>
  </si>
  <si>
    <t>タスククローズ済み</t>
  </si>
  <si>
    <t>凍結</t>
  </si>
  <si>
    <t>一時保留</t>
  </si>
  <si>
    <t>■ 優先度定義</t>
  </si>
  <si>
    <t>最優先</t>
  </si>
  <si>
    <t>これが無いと次に進めない（Pattern Store、Runtime骨組み等）</t>
  </si>
  <si>
    <t>高</t>
  </si>
  <si>
    <t>主戦略・本番運用に必須</t>
  </si>
  <si>
    <t>中</t>
  </si>
  <si>
    <t>運用品質向上に必要</t>
  </si>
  <si>
    <t>低</t>
  </si>
  <si>
    <t>後回し可（後から拡張）</t>
  </si>
  <si>
    <t>■ 開発着手順の最重要前提（要件書15章・23章より）</t>
  </si>
  <si>
    <t>1</t>
  </si>
  <si>
    <t>Pattern Store / Feature Store / Runtime / Simulation の骨組みを最優先で作成</t>
  </si>
  <si>
    <t>2</t>
  </si>
  <si>
    <t>リアルタイム Paper Live 環境 + LINE通知基盤を構築</t>
  </si>
  <si>
    <t>3</t>
  </si>
  <si>
    <t>実弾執行基盤（証券API連携）は後回しで着手</t>
  </si>
  <si>
    <t>4</t>
  </si>
  <si>
    <t>各エージェントのプロンプトファイルを整備</t>
  </si>
  <si>
    <t>■ 使い方</t>
  </si>
  <si>
    <t>TODO_Master シートで各タスクのステータスを更新</t>
  </si>
  <si>
    <t>完了したらステータスを「完了」に変更し、完了日を入力</t>
  </si>
  <si>
    <t>Phase_Summary で進捗を自動集計（SUMIFS/COUNTIFS）</t>
  </si>
  <si>
    <t>GitとObsidianに対応する.mdファイルを必ず作成し、本表のタスクIDを記載</t>
  </si>
  <si>
    <t>■ 要件トレーサビリティマトリクス (RTM)</t>
  </si>
  <si>
    <t>RTM_要件カバレッジ</t>
  </si>
  <si>
    <t>要件書全要件を要件ID(R-章-連番)で採番し、対応タスクIDを紐付け。赤=未カバー、黄=1件紐付け、緑=2件以上</t>
  </si>
  <si>
    <t>RTM_章別サマリー</t>
  </si>
  <si>
    <t>章別の要件数・カバー済・未カバー・カバレッジ率を自動集計。未カバーが1件でもある章を黄色ハイライト</t>
  </si>
  <si>
    <t>■ 要件抜け漏れ確認の正式な場所</t>
  </si>
  <si>
    <t>『RTM_章別サマリー』で黄色ハイライトされた章を確認</t>
  </si>
  <si>
    <t>該当章に移動し、『RTM_要件カバレッジ』で赤ハイライトの要件(=タスク未紐付け)を特定</t>
  </si>
  <si>
    <t>赤要件をタスク化するか、対応不要な理由を明記する</t>
  </si>
  <si>
    <t>新規タスクをTODO_Masterに追加後、RTMの対応タスクID列を更新</t>
  </si>
  <si>
    <t>■ Mac mini 到着待ち対応(v3で追加)</t>
  </si>
  <si>
    <t>開発・運用フェーズ計画</t>
  </si>
  <si>
    <t>Mac到着待ち期間の開発順序を整理。D1-D7はWindowsで完結、D8でMac移行。</t>
  </si>
  <si>
    <t>■ Mac mini到着前後の方針</t>
  </si>
  <si>
    <t>到着前</t>
  </si>
  <si>
    <t>WindowsでD1-D7(基盤/Store/Sim/エージェント/通知/Dashboard/縮退運転/擬似Paper Live)を進める</t>
  </si>
  <si>
    <t>到着後</t>
  </si>
  <si>
    <t>D8(F002→F003→F013→F016)を短期集中で実施、Mac常駐化しM-3スタート</t>
  </si>
  <si>
    <t>遅延時</t>
  </si>
  <si>
    <t>Windowsでの開発完成度を高める時間が増える。D1-D7のタスク消化率を上げる</t>
  </si>
  <si>
    <t>ID</t>
  </si>
  <si>
    <t>フェーズ</t>
  </si>
  <si>
    <t>カテゴリ</t>
  </si>
  <si>
    <t>要件書章</t>
  </si>
  <si>
    <t>タスク名</t>
  </si>
  <si>
    <t>詳細</t>
  </si>
  <si>
    <t>優先度</t>
  </si>
  <si>
    <t>依存</t>
  </si>
  <si>
    <t>担当</t>
  </si>
  <si>
    <t>想定工数(日)</t>
  </si>
  <si>
    <t>ステータス</t>
  </si>
  <si>
    <t>着手日</t>
  </si>
  <si>
    <t>完了日</t>
  </si>
  <si>
    <t>成果物</t>
  </si>
  <si>
    <t>備考</t>
  </si>
  <si>
    <t>F001</t>
  </si>
  <si>
    <t>P0: 基盤・環境構築</t>
  </si>
  <si>
    <t>移行準備</t>
  </si>
  <si>
    <t>-</t>
  </si>
  <si>
    <t>Windows資産のZIP化・クラウドアップロード(Mac到着前)</t>
  </si>
  <si>
    <t>Windows PCで fire-vault をZIP化し、Google Drive等にアップロード。FIRE_開発TODO_v7.xlsx、要件書PDF原本、引き継ぎコンテキスト.md も一緒にアップ。Mac mini到着時に即ダウンロードできる状態にする。</t>
  </si>
  <si>
    <t>Fujiwara</t>
  </si>
  <si>
    <t>Google Drive上のfire-vault_backup.zip + 関連ファイル一式</t>
  </si>
  <si>
    <t>Mac mini到着前に完了させておく。Windows_to_Mac_移行手順.md 参照</t>
  </si>
  <si>
    <t>F019</t>
  </si>
  <si>
    <t>アカウント</t>
  </si>
  <si>
    <t>Claude 個人アカウント契約(Pro or Max)</t>
  </si>
  <si>
    <t>FIRE開発専用のClaude個人アカウントを契約(StudioZ業務用とは分離)。推奨はClaude Pro($20/月)またはMaxプラン。Claude Code利用のため2FA必須。契約後、新アカウントで引き継ぎコンテキスト.mdを投入してFIRE開発を継続。</t>
  </si>
  <si>
    <t>新Claudeアカウント(個人用・Pro/Max契約済み)</t>
  </si>
  <si>
    <t>Claude Code の長時間実行・大容量コンテキストに対応するため有料プラン推奨</t>
  </si>
  <si>
    <t>F002</t>
  </si>
  <si>
    <t>環境</t>
  </si>
  <si>
    <t>16</t>
  </si>
  <si>
    <t>Mac mini M4 Pro 受領・初期設定</t>
  </si>
  <si>
    <t>システム設定: スリープしない/自動再起動/自動ログイン/ファイアウォール/画面共有/SSH/Tailscale。要件書16章。</t>
  </si>
  <si>
    <t>Mac mini運用環境</t>
  </si>
  <si>
    <t>Claude個人アカウント契約(F019)完了後、Mac受領時に着手</t>
  </si>
  <si>
    <t>F003</t>
  </si>
  <si>
    <t>Mac mini 開発環境セットアップ</t>
  </si>
  <si>
    <t>Homebrew / Python@3.12 / Node.js LTS / Git / Obsidian / VS Code + 拡張をbrewとApp Storeで一括導入。.zshrc に環境変数設定。</t>
  </si>
  <si>
    <t>Mac環境</t>
  </si>
  <si>
    <t>Windows で決めたツール構成をMac版で再現</t>
  </si>
  <si>
    <t>F016</t>
  </si>
  <si>
    <t>移行</t>
  </si>
  <si>
    <t>Windows資産のMac mini移行</t>
  </si>
  <si>
    <t>Obsidian Vault(fire-vault)/要件書39章.md/タスク運用ルール.md/Google Sheetsリンクを iCloud・Dropbox・GitHub経由でMacに展開。GitHub(BlueFire7777)の鍵登録。</t>
  </si>
  <si>
    <t>F001,F003</t>
  </si>
  <si>
    <t>両方</t>
  </si>
  <si>
    <t>docs/migration_to_mac.md</t>
  </si>
  <si>
    <t>Windows側で作成したZIP(F001)を Mac に展開。F003 の Mac 開発環境セットアップ完了後</t>
  </si>
  <si>
    <t>F017</t>
  </si>
  <si>
    <t>ドキュメント</t>
  </si>
  <si>
    <t>Claudeアカウント引き継ぎ・新ランタイム確認</t>
  </si>
  <si>
    <t>新Claude個人アカウント(F019)でFIREプロジェクトコンテキストを引き継ぎ、CLAUDE.mdと要件書を認識させる。Windows資産(F016)がMac上で使える状態で動作確認。</t>
  </si>
  <si>
    <t>F019,F016</t>
  </si>
  <si>
    <t>新アカウントでのclaude動作確認</t>
  </si>
  <si>
    <t>新Claudeアカウントでの継続運用の起点</t>
  </si>
  <si>
    <t>F018</t>
  </si>
  <si>
    <t>Mac .zshrc プロファイル設定</t>
  </si>
  <si>
    <t>$FIRE_HOME / $FIRE_VAULT / $CLAUDE_CODE_EFFORT_LEVEL / $FIRE_PLATFORM=mac 等の環境変数と、fire / firevault / py312 等のエイリアス・関数を.zshrcに設定。</t>
  </si>
  <si>
    <t>~/.zshrc</t>
  </si>
  <si>
    <t>Windows PowerShellプロファイルのMac版</t>
  </si>
  <si>
    <t>F235</t>
  </si>
  <si>
    <t>証券会社設定</t>
  </si>
  <si>
    <t>14</t>
  </si>
  <si>
    <t>楽天証券 約定通知メール設定</t>
  </si>
  <si>
    <t>楽天証券ログイン → 設定・変更 → お知らせメール設定 → 注文約定通知 ON。M+2 以降に Gmail API で自動取込するための前提設定。Fujiwara さん自身の作業。</t>
  </si>
  <si>
    <t>楽天証券の約定通知メール配信設定</t>
  </si>
  <si>
    <t>v3.3 新規。M+2 以降の Gmail API 自動取込の前提</t>
  </si>
  <si>
    <t>F242</t>
  </si>
  <si>
    <t>基盤</t>
  </si>
  <si>
    <t>23</t>
  </si>
  <si>
    <t>OpenClaw セットアップ(Mac mini 常駐基盤)</t>
  </si>
  <si>
    <t>Mac mini M4 Pro に OpenClaw をインストールし、常駐・スケジュール・並列実行・自動復旧・セッション永続化の基盤を確立。ハートビートと再起動テスト。Anthropic API キー設定。</t>
  </si>
  <si>
    <t>Claude</t>
  </si>
  <si>
    <t>OpenClaw on Mac mini 稼働状態</t>
  </si>
  <si>
    <t>v3.3 の核心。FIRE 専用ランナー自作を廃止して OpenClaw 採用</t>
  </si>
  <si>
    <t>F004</t>
  </si>
  <si>
    <t>リポジトリ</t>
  </si>
  <si>
    <t>15</t>
  </si>
  <si>
    <t>Gitリポジトリ初期化</t>
  </si>
  <si>
    <t>fireリポジトリ作成、README.md/CLAUDE.md/.gitignore/requirements.txt/package.json作成。ブランチ戦略(main/dev/feature)定義。</t>
  </si>
  <si>
    <t>github.com/xxx/fire</t>
  </si>
  <si>
    <t>F005</t>
  </si>
  <si>
    <t>CLAUDE.md 初稿作成</t>
  </si>
  <si>
    <t>Claude Codeへの実装指示書。要件書の決定事項を削らず記載。崩してはならない前提リスト。</t>
  </si>
  <si>
    <t>CLAUDE.md</t>
  </si>
  <si>
    <t>F006</t>
  </si>
  <si>
    <t>README.md 初稿作成</t>
  </si>
  <si>
    <t>プロジェクト概要、セットアップ手順、ディレクトリ構造、開発フロー記載。</t>
  </si>
  <si>
    <t>README.md</t>
  </si>
  <si>
    <t>F007</t>
  </si>
  <si>
    <t>Obsidian Vault 構築</t>
  </si>
  <si>
    <t>開発ログ/設計メモ/日次レビュー用のVault作成。docs/配下と連携。タスクIDリンク運用。</t>
  </si>
  <si>
    <t>Obsidian Vault</t>
  </si>
  <si>
    <t>F008</t>
  </si>
  <si>
    <t>ディレクトリ</t>
  </si>
  <si>
    <t>プロジェクトディレクトリ構造設計</t>
  </si>
  <si>
    <t>agents/ runtime/ patterns/ features/ simulation/ dashboard/ notifications/ broker/ data/ logs/ docs/ tests/ scripts/</t>
  </si>
  <si>
    <t>ディレクトリ構造</t>
  </si>
  <si>
    <t>F011</t>
  </si>
  <si>
    <t>DB</t>
  </si>
  <si>
    <t>ローカルDB選定・初期化</t>
  </si>
  <si>
    <t>Pattern/Feature/Live Research Log用。SQLite or DuckDB or PostgreSQL選定。スキーマ設計。</t>
  </si>
  <si>
    <t>db/schema.sql</t>
  </si>
  <si>
    <t>F012</t>
  </si>
  <si>
    <t>スケジューラ</t>
  </si>
  <si>
    <t>FIRE Runner骨組み</t>
  </si>
  <si>
    <t>メインオーケストレーター。エージェント起動/停止/スケジュール管理。時間帯別処理起動。Windows/Mac両対応で実装。</t>
  </si>
  <si>
    <t>F010</t>
  </si>
  <si>
    <t>runtime/main.py</t>
  </si>
  <si>
    <t>OS非依存で実装。launchd固有部分はF013で追加</t>
  </si>
  <si>
    <t>F013</t>
  </si>
  <si>
    <t>launchd</t>
  </si>
  <si>
    <t>Mac mini launchd常駐自動起動設定</t>
  </si>
  <si>
    <t>~/Library/LaunchAgents/com.fire.runtime.plist作成、launchctl load、動作確認。FIRE Runtime常駐基盤の完成。</t>
  </si>
  <si>
    <t>F003,F012</t>
  </si>
  <si>
    <t>com.fire.runtime.plist</t>
  </si>
  <si>
    <t>要件書16章。常駐化により以降のPaper Live本格稼働が可能に</t>
  </si>
  <si>
    <t>F009</t>
  </si>
  <si>
    <t>設定</t>
  </si>
  <si>
    <t>環境変数管理基盤</t>
  </si>
  <si>
    <t>.env設計、RAKUTEN_API_KEY/LINE_CHANNEL_TOKEN/NEWS_API_KEY/TDNET_API_KEY等。.env.example整備。秘匿情報のgit除外。</t>
  </si>
  <si>
    <t>.env, .env.example</t>
  </si>
  <si>
    <t>ロギング</t>
  </si>
  <si>
    <t>共通ロギング基盤</t>
  </si>
  <si>
    <t>logs/配下に構造化ログ(JSON)。レベル分け、ローテーション、監査用の永続化。</t>
  </si>
  <si>
    <t>utils/logger.py</t>
  </si>
  <si>
    <t>F020</t>
  </si>
  <si>
    <t>P1: Pattern/Feature Store</t>
  </si>
  <si>
    <t>データ基盤</t>
  </si>
  <si>
    <t>21,36</t>
  </si>
  <si>
    <t>Feature Store スキーマ設計</t>
  </si>
  <si>
    <t>6系統特徴量(材料/地合い/出来高/値動き/執行品質/時間帯)の全カラム定義。時系列/スナップショット管理。</t>
  </si>
  <si>
    <t>features/schema.md</t>
  </si>
  <si>
    <t>F027</t>
  </si>
  <si>
    <t>Store</t>
  </si>
  <si>
    <t>11,21,37</t>
  </si>
  <si>
    <t>Pattern Store 4階層構造実装</t>
  </si>
  <si>
    <t>Layer1: Pattern Archive / Layer2: Valid Library / Layer3: Active Priority Set / Layer4: Death Note・Rehab。</t>
  </si>
  <si>
    <t>F011,F020</t>
  </si>
  <si>
    <t>patterns/store.py</t>
  </si>
  <si>
    <t>F028</t>
  </si>
  <si>
    <t>21,37</t>
  </si>
  <si>
    <t>パターン7状態管理</t>
  </si>
  <si>
    <t>candidate/paper_validating/approved_active/watchlist/frozen/death_note/rehab の遷移ルール実装。</t>
  </si>
  <si>
    <t>patterns/state_machine.py</t>
  </si>
  <si>
    <t>F031</t>
  </si>
  <si>
    <t>検索</t>
  </si>
  <si>
    <t>11,21,26</t>
  </si>
  <si>
    <t>類似局面検索エンジン</t>
  </si>
  <si>
    <t>Feature Storeから現在局面と過去局面の類似度計算。重み付け(材料30/地合い20/流動性20/値動き20/執行10)。</t>
  </si>
  <si>
    <t>F020,F027</t>
  </si>
  <si>
    <t>patterns/similarity.py</t>
  </si>
  <si>
    <t>F032</t>
  </si>
  <si>
    <t>スコアリング</t>
  </si>
  <si>
    <t>11,26</t>
  </si>
  <si>
    <t>再現性スコア合成エンジン</t>
  </si>
  <si>
    <t>類似度+類似件数+勝率+平均RR+期待値+レジーム適合+直近有効性+執行品質+リスク管理適合 の合成。</t>
  </si>
  <si>
    <t>patterns/repro_score.py</t>
  </si>
  <si>
    <t>F180</t>
  </si>
  <si>
    <t>ラベル</t>
  </si>
  <si>
    <t>29</t>
  </si>
  <si>
    <t>成功/失敗ラベル4分類</t>
  </si>
  <si>
    <t>Success/Failure/Timeout/Invalid。target_holding_window内で損切より先に利確1到達=Success。</t>
  </si>
  <si>
    <t>labels/classifier.py</t>
  </si>
  <si>
    <t>F200</t>
  </si>
  <si>
    <t>戦略</t>
  </si>
  <si>
    <t>3,25</t>
  </si>
  <si>
    <t>3レーン戦略構造</t>
  </si>
  <si>
    <t>Primary(材料初動80%+主役テーマ値嵩)/Secondary(押し目再加速等 20%/M+2までPaper並走)/Research(準スキャル等)。</t>
  </si>
  <si>
    <t>F111</t>
  </si>
  <si>
    <t>strategies/lanes.py</t>
  </si>
  <si>
    <t>F021</t>
  </si>
  <si>
    <t>データ取得</t>
  </si>
  <si>
    <t>36</t>
  </si>
  <si>
    <t>材料特徴量収集エンジン</t>
  </si>
  <si>
    <t>material_type/freshness/strength_score/multi_material_flag/earnings_related_flag/shareholder_return_flag。</t>
  </si>
  <si>
    <t>features/material.py</t>
  </si>
  <si>
    <t>TDnet/IR/NewsAPI連携は後続</t>
  </si>
  <si>
    <t>F022</t>
  </si>
  <si>
    <t>地合い特徴量収集エンジン</t>
  </si>
  <si>
    <t>nikkei/topix_direction、sector_strength_rank、theme_strength_rank、market_regime分類、usd_jpy、overnight_us。</t>
  </si>
  <si>
    <t>features/regime.py</t>
  </si>
  <si>
    <t>F023</t>
  </si>
  <si>
    <t>出来高/流動性特徴量エンジン</t>
  </si>
  <si>
    <t>volume_ratio/turnover/liquidity_score/spread_estimate/high_price_stock_flag/board_thickness_score。</t>
  </si>
  <si>
    <t>features/liquidity.py</t>
  </si>
  <si>
    <t>F024</t>
  </si>
  <si>
    <t>値動き/テクニカル特徴量エンジン</t>
  </si>
  <si>
    <t>gap_pct/intraday_range/breakout/pullback/vwap_position/ma_alignment/RS/price_action_pattern/S&amp;R距離。</t>
  </si>
  <si>
    <t>features/technical.py</t>
  </si>
  <si>
    <t>F025</t>
  </si>
  <si>
    <t>執行品質特徴量エンジン</t>
  </si>
  <si>
    <t>entry/stop_slippage_estimate、partial_fill_risk、fill_quality_score、forced_close_risk_score。</t>
  </si>
  <si>
    <t>features/execution.py</t>
  </si>
  <si>
    <t>F026</t>
  </si>
  <si>
    <t>時間帯特徴量エンジン</t>
  </si>
  <si>
    <t>session_phase/minutes_from_open/minutes_to_force_close/material_to_entry_lag_minutes。</t>
  </si>
  <si>
    <t>features/time.py</t>
  </si>
  <si>
    <t>F029</t>
  </si>
  <si>
    <t>37</t>
  </si>
  <si>
    <t>パターン格付け(S〜X)実装</t>
  </si>
  <si>
    <t>S/A/B/C/D/X のランク付けと自動判定ロジック。再現性スコア/期待値/類似件数ベース。</t>
  </si>
  <si>
    <t>patterns/ranking.py</t>
  </si>
  <si>
    <t>F030</t>
  </si>
  <si>
    <t>21,31,37</t>
  </si>
  <si>
    <t>pattern_id / 命名規則 / バージョン管理</t>
  </si>
  <si>
    <t>[material]-[regime]-[price_action]-[time]-[liquidity] 形式。parent_pattern_id、change_reason必須。</t>
  </si>
  <si>
    <t>patterns/naming.py</t>
  </si>
  <si>
    <t>F033</t>
  </si>
  <si>
    <t>DEATH NOTE</t>
  </si>
  <si>
    <t>21</t>
  </si>
  <si>
    <t>DEATH NOTE 3段階判定</t>
  </si>
  <si>
    <t>Step1(5回で4敗)→要警戒 / Step2(10回勝率30%未満)→凍結候補 / Step3(20回期待値マイナス)→DEATH NOTE。</t>
  </si>
  <si>
    <t>patterns/death_note.py</t>
  </si>
  <si>
    <t>単純連敗即死禁止</t>
  </si>
  <si>
    <t>F035</t>
  </si>
  <si>
    <t>Agent</t>
  </si>
  <si>
    <t>Pattern Research Agent</t>
  </si>
  <si>
    <t>パターン研究責任者。過去/リアルタイムからの発見・定義・更新提案。自動反映禁止。</t>
  </si>
  <si>
    <t>F031,F032</t>
  </si>
  <si>
    <t>agents/pattern_research.py</t>
  </si>
  <si>
    <t>F036</t>
  </si>
  <si>
    <t>ログ</t>
  </si>
  <si>
    <t>Live Research Log 実装</t>
  </si>
  <si>
    <t>リアルタイム観測ログ。候補/類似パターン/実成績/最大含み益/最大逆行/約定品質/地合い保存。</t>
  </si>
  <si>
    <t>patterns/live_log.py</t>
  </si>
  <si>
    <t>F038</t>
  </si>
  <si>
    <t>承認フロー</t>
  </si>
  <si>
    <t>パターン採用承認フロー</t>
  </si>
  <si>
    <t>candidate→Paper/Sim検証→Evaluation評価→ユーザー承認→Library登録。凍結/DN/REHABも承認制。</t>
  </si>
  <si>
    <t>patterns/approval.py</t>
  </si>
  <si>
    <t>F181</t>
  </si>
  <si>
    <t>target_holding_window パターン別管理</t>
  </si>
  <si>
    <t>材料初動10-30分/主役テーマ15-45分/準スキャル3-10分。</t>
  </si>
  <si>
    <t>labels/windows.py</t>
  </si>
  <si>
    <t>F182</t>
  </si>
  <si>
    <t>補助メトリクス保存</t>
  </si>
  <si>
    <t>mfe_pct/mae_pct/time_to_mfe/mae/tp/sl/pnl_at_timeout/close/fill_quality_score。</t>
  </si>
  <si>
    <t>labels/metrics.py</t>
  </si>
  <si>
    <t>F183</t>
  </si>
  <si>
    <t>Pattern Library採用最重要指標</t>
  </si>
  <si>
    <t>success_rate/failure_rate/timeout_rate/expectancy/avg_rr/mae/mfe/regime別/fill_adjusted_expectancy。</t>
  </si>
  <si>
    <t>labels/adoption_metrics.py</t>
  </si>
  <si>
    <t>勝率だけで採用禁止</t>
  </si>
  <si>
    <t>F201</t>
  </si>
  <si>
    <t>25</t>
  </si>
  <si>
    <t>頻度監視(0-3件/日、5-10件/週)</t>
  </si>
  <si>
    <t>2週間連続頻度不足をEvaluationが検知。フィルター厳しすぎ点検。</t>
  </si>
  <si>
    <t>F119</t>
  </si>
  <si>
    <t>strategies/frequency.py</t>
  </si>
  <si>
    <t>F202</t>
  </si>
  <si>
    <t>決算シーズン特別ルール</t>
  </si>
  <si>
    <t>材料母集団広め/実行候補1-3件固定/フィルター厳格化/優先・除外条件明文化。</t>
  </si>
  <si>
    <t>strategies/earnings_season.py</t>
  </si>
  <si>
    <t>F034</t>
  </si>
  <si>
    <t>REHAB</t>
  </si>
  <si>
    <t>REHAB Queue 管理</t>
  </si>
  <si>
    <t>凍結/DEATH NOTE復帰候補の保管。決算期限定/強地合い限定/セクター限定/執行改善後の再挑戦。</t>
  </si>
  <si>
    <t>patterns/rehab.py</t>
  </si>
  <si>
    <t>自動復帰禁止</t>
  </si>
  <si>
    <t>F037</t>
  </si>
  <si>
    <t>品質管理</t>
  </si>
  <si>
    <t>31,37</t>
  </si>
  <si>
    <t>パターン重複統合ルール</t>
  </si>
  <si>
    <t>コア特徴量重複度の閾値判定。親子関係化/alias扱い/統合の運用。週次棚卸し。</t>
  </si>
  <si>
    <t>patterns/dedup.py</t>
  </si>
  <si>
    <t>F040</t>
  </si>
  <si>
    <t>P2: Simulation/Backtest</t>
  </si>
  <si>
    <t>Simulation</t>
  </si>
  <si>
    <t>19</t>
  </si>
  <si>
    <t>Backtest Mode (Stage 0)</t>
  </si>
  <si>
    <t>過去データでのルールベース検証。戦略有効性/候補抽出/エッジ別成績/損益傾向。</t>
  </si>
  <si>
    <t>F020,F031</t>
  </si>
  <si>
    <t>simulation/backtest.py</t>
  </si>
  <si>
    <t>F041</t>
  </si>
  <si>
    <t>Replay Simulation Mode (Stage 1)</t>
  </si>
  <si>
    <t>過去特定日の時系列再生。当時利用可能情報のみ使用し後知恵バイアス排除。</t>
  </si>
  <si>
    <t>simulation/replay.py</t>
  </si>
  <si>
    <t>F043</t>
  </si>
  <si>
    <t>約定モデル</t>
  </si>
  <si>
    <t>現実寄り約定モデル (B)</t>
  </si>
  <si>
    <t>スプレッド/価格乖離/約定遅延/部分約定考慮。標準simulation精度確認用。</t>
  </si>
  <si>
    <t>F042</t>
  </si>
  <si>
    <t>simulation/fill_realistic.py</t>
  </si>
  <si>
    <t>F044</t>
  </si>
  <si>
    <t>厳しめ約定モデル (C)</t>
  </si>
  <si>
    <t>+2ティック/値嵩株1.5倍/寄り直後1.5倍。楽観バイアス検出用。指値未約定リスクもモデル化。</t>
  </si>
  <si>
    <t>simulation/fill_strict.py</t>
  </si>
  <si>
    <t>F045</t>
  </si>
  <si>
    <t>高速リプレイ</t>
  </si>
  <si>
    <t>12,19,32</t>
  </si>
  <si>
    <t>過去データ高速リプレイ並列実行</t>
  </si>
  <si>
    <t>Mac mini常時稼働を活かしたカレンダー日数短縮。20営業日50トレード基準を過去データでクリア可能に。</t>
  </si>
  <si>
    <t>simulation/parallel_replay.py</t>
  </si>
  <si>
    <t>M-3期の爆速蓄積用</t>
  </si>
  <si>
    <t>理想約定モデル (A)</t>
  </si>
  <si>
    <t>シグナル価格でそのまま約定。最楽観。戦略純粋方向性確認用。</t>
  </si>
  <si>
    <t>simulation/fill_ideal.py</t>
  </si>
  <si>
    <t>F046</t>
  </si>
  <si>
    <t>精度指標</t>
  </si>
  <si>
    <t>Simulation Accuracy 指標算出</t>
  </si>
  <si>
    <t>仮想vs実現的価格の比較。仮想約定率/利確到達率/損切率/強制クローズ成功率。</t>
  </si>
  <si>
    <t>simulation/accuracy.py</t>
  </si>
  <si>
    <t>F047</t>
  </si>
  <si>
    <t>Optimistic Bias / Realistic Fill Score</t>
  </si>
  <si>
    <t>Simulation Confidence Score / Optimistic Bias Score / Realistic Fill Score 算出。</t>
  </si>
  <si>
    <t>simulation/bias_score.py</t>
  </si>
  <si>
    <t>F050</t>
  </si>
  <si>
    <t>P3: Paper Live</t>
  </si>
  <si>
    <t>Runtime</t>
  </si>
  <si>
    <t>19,23</t>
  </si>
  <si>
    <t>Paper Live Mode (Stage 2) 本体</t>
  </si>
  <si>
    <t>リアルタイム相場で仮想売買。朝レポート/候補抽出/厳選/条件監視/仮想建玉/仮想余力。</t>
  </si>
  <si>
    <t>F043,F012</t>
  </si>
  <si>
    <t>simulation/paper_live.py</t>
  </si>
  <si>
    <t>F051</t>
  </si>
  <si>
    <t>仮想管理</t>
  </si>
  <si>
    <t>仮想建玉/平均建値/評価損益/実現損益/余力管理</t>
  </si>
  <si>
    <t>仮想ロット消費状況/仮想停止状態管理。新規/利確/損切/強制クローズ/注文取消/失効の全カバー。</t>
  </si>
  <si>
    <t>simulation/virtual_book.py</t>
  </si>
  <si>
    <t>F052</t>
  </si>
  <si>
    <t>厳しめモデル統合</t>
  </si>
  <si>
    <t>Paper Live厳しめ約定モデル標準化</t>
  </si>
  <si>
    <t>+2ティック/値嵩株1.5倍/寄り直後1.5倍をPaper Liveの標準約定モデルとする。</t>
  </si>
  <si>
    <t>F044,F050</t>
  </si>
  <si>
    <t>simulation/paper_fill.py</t>
  </si>
  <si>
    <t>F053</t>
  </si>
  <si>
    <t>検証</t>
  </si>
  <si>
    <t>32</t>
  </si>
  <si>
    <t>Paper Live→Semi Auto 昇格基準実装</t>
  </si>
  <si>
    <t>20営業日 or 50トレード / 期待値プラス / DD上限 / 強制クローズ100% / 停止機能正常 を自動判定。</t>
  </si>
  <si>
    <t>F050,F046</t>
  </si>
  <si>
    <t>simulation/promotion_check.py</t>
  </si>
  <si>
    <t>F236</t>
  </si>
  <si>
    <t>P4: LINE/通知基盤</t>
  </si>
  <si>
    <t>通知</t>
  </si>
  <si>
    <t>06,38</t>
  </si>
  <si>
    <t>LINE 緊急ポジション整理部屋 5段階アラート実装</t>
  </si>
  <si>
    <t>LINE 通知 5部屋の 1つとして 🚨 緊急ポジション整理部屋を新設。14:45/14:55/15:05/15:10/15:15 の段階アラート。独立性担保のため macOS 標準 Cron から起動(OpenClaw 障害時も稼働継続)。建玉残 0 件なら通知スキップ。</t>
  </si>
  <si>
    <t>緊急ポジション整理部屋稼働</t>
  </si>
  <si>
    <t>v3.3 新規。v3.2 の Playwright 自動クローズを置換</t>
  </si>
  <si>
    <t>F060</t>
  </si>
  <si>
    <t>API</t>
  </si>
  <si>
    <t>6</t>
  </si>
  <si>
    <t>LINE Messaging API連携基盤</t>
  </si>
  <si>
    <t>LINE Channel Token管理、送信関数、エラーハンドリング、リトライ。</t>
  </si>
  <si>
    <t>notifications/line_client.py</t>
  </si>
  <si>
    <t>F061</t>
  </si>
  <si>
    <t>通知設計</t>
  </si>
  <si>
    <t>LINE通知4部屋分離</t>
  </si>
  <si>
    <t>エントリー/執行損益/レポート/システム警告。必須項目の完成形化。</t>
  </si>
  <si>
    <t>notifications/rooms.py</t>
  </si>
  <si>
    <t>4,7,8</t>
  </si>
  <si>
    <t>Daytrade Selection Agent</t>
  </si>
  <si>
    <t>デイトレ候補抽出・厳選(1〜3銘柄)。スコア付与(地合い15/テーマ15/流動性20/値動き20/値嵩10/RR10/補助10)。</t>
  </si>
  <si>
    <t>agents/daytrade_select.py</t>
  </si>
  <si>
    <t>F115</t>
  </si>
  <si>
    <t>4,5</t>
  </si>
  <si>
    <t>Trade Decision Agent</t>
  </si>
  <si>
    <t>エントリー/利確/損切/株数提案。ロット計算(許容損失÷(エントリー-損切))、100株丸め。注文案生成。</t>
  </si>
  <si>
    <t>agents/trade_decision.py</t>
  </si>
  <si>
    <t>F116</t>
  </si>
  <si>
    <t>4,6</t>
  </si>
  <si>
    <t>Monitoring &amp; Alert Agent</t>
  </si>
  <si>
    <t>価格到達監視。LINE通知発火。特買い/特売り検知。Windows開発段階ではPaper Live専用、本番はMac miniで常駐。</t>
  </si>
  <si>
    <t>F060,F100</t>
  </si>
  <si>
    <t>agents/monitoring.py</t>
  </si>
  <si>
    <t>OS非依存ロジック。Windowsでも試験可</t>
  </si>
  <si>
    <t>4,13</t>
  </si>
  <si>
    <t>Evaluation Agent</t>
  </si>
  <si>
    <t>候補抽出/執行/リスク管理/システム/エッジ別を評価。改善提案書作成。自動反映禁止・承認制。</t>
  </si>
  <si>
    <t>agents/evaluation.py</t>
  </si>
  <si>
    <t>F130</t>
  </si>
  <si>
    <t>リスク</t>
  </si>
  <si>
    <t>5</t>
  </si>
  <si>
    <t>許容損失 準攻撃型実装</t>
  </si>
  <si>
    <t>デイトレ通常0.4%/強気0.5%/弱気0.25-0.3%。スイング通常0.6%/強気0.8%。長期1.2%(分割買い)。</t>
  </si>
  <si>
    <t>risk/allowable_loss.py</t>
  </si>
  <si>
    <t>F131</t>
  </si>
  <si>
    <t>5,39</t>
  </si>
  <si>
    <t>M=0 初月半減ルール</t>
  </si>
  <si>
    <t>デイトレ0.2%/スイング0.3%開始。M+1で0.3%、M+2〜で要件書通り0.4%復帰。</t>
  </si>
  <si>
    <t>risk/m0_scaling.py</t>
  </si>
  <si>
    <t>F132</t>
  </si>
  <si>
    <t>日次・週次損失制御</t>
  </si>
  <si>
    <t>日次-1.2%新規停止/-1.8%終了。週次-3.0%守備/-4.0%大幅制限/-5.0%原則停止。</t>
  </si>
  <si>
    <t>risk/daily_weekly_stop.py</t>
  </si>
  <si>
    <t>F133</t>
  </si>
  <si>
    <t>5,9</t>
  </si>
  <si>
    <t>強制クローズ独立プロセス</t>
  </si>
  <si>
    <t>別ファイル+Cron起動のフェイルセーフ。14:45新規禁止/15:10完了期限。15:08強制モード。</t>
  </si>
  <si>
    <t>risk/force_close.py</t>
  </si>
  <si>
    <t>独立プロセスで実装</t>
  </si>
  <si>
    <t>F140</t>
  </si>
  <si>
    <t>執行</t>
  </si>
  <si>
    <t>17</t>
  </si>
  <si>
    <t>Execution Quality Gate 実装</t>
  </si>
  <si>
    <t>板厚/スプレッド/出来高/部分約定リスク/値飛びリスク/値嵩滑りやすさ判定。スコア高でもNGなら見送り。</t>
  </si>
  <si>
    <t>F025,F115</t>
  </si>
  <si>
    <t>execution/quality_gate.py</t>
  </si>
  <si>
    <t>F141</t>
  </si>
  <si>
    <t>ハイブリッド執行方針</t>
  </si>
  <si>
    <t>Sランク材料=逆指値→成行ブレイク狙い。通常=指値主体。例外条件明文化。</t>
  </si>
  <si>
    <t>execution/hybrid.py</t>
  </si>
  <si>
    <t>F144</t>
  </si>
  <si>
    <t>12,17</t>
  </si>
  <si>
    <t>執行品質3段階アラート+自己キャリブレーション</t>
  </si>
  <si>
    <t>注意(直近5・2.0倍超/LINE警告)/警戒(直近10・2.5倍超/リスク半減)/停止(直近10・3.0倍超/即時停止)。30日後は実測ベース。</t>
  </si>
  <si>
    <t>execution/slippage_monitor.py</t>
  </si>
  <si>
    <t>F211</t>
  </si>
  <si>
    <t>目標</t>
  </si>
  <si>
    <t>27</t>
  </si>
  <si>
    <t>目標圧力と運用規律の分離</t>
  </si>
  <si>
    <t>乖離を理由にロット/基準/準主戦略格上げ/停止条件緩和を自動で行わない。相場条件でリスク量決定。</t>
  </si>
  <si>
    <t>F130,F210</t>
  </si>
  <si>
    <t>goal/discipline.py</t>
  </si>
  <si>
    <t>F237</t>
  </si>
  <si>
    <t>障害対応</t>
  </si>
  <si>
    <t>22,23</t>
  </si>
  <si>
    <t>OpenClaw 障害時縮退運転機構</t>
  </si>
  <si>
    <t>OpenClaw が停止した場合の対応:(1) macOS Cron がハートビート不在を1分以内に検知、(2) 自動で Fujiwara さんに LINE で「FIRE 縮退モード起動」通知、(3) 緊急ポジション整理アラートは macOS Cron で独立稼働継続、(4) 復旧後に想定建玉と楽天証券実態を再整合。</t>
  </si>
  <si>
    <t>F242,F236</t>
  </si>
  <si>
    <t>縮退運転機構 + ハートビート検知スクリプト</t>
  </si>
  <si>
    <t>v3.3 新規</t>
  </si>
  <si>
    <t>F238</t>
  </si>
  <si>
    <t>06,14</t>
  </si>
  <si>
    <t>LINE 約定手動報告パーサー(初期運用用)</t>
  </si>
  <si>
    <t>M=0〜M+1 の期間、Fujiwara さんが LINE で約定報告(シグナルID・約定価格・株数・時刻・部分約定の有無)した内容をパースして FIRE の建玉DB に記録。M+2 以降は Gmail API 経由に移行するが、補助手段として継続運用。</t>
  </si>
  <si>
    <t>LINE 約定報告パーサー</t>
  </si>
  <si>
    <t>v3.3 新規。M=0 時点で必須</t>
  </si>
  <si>
    <t>F062</t>
  </si>
  <si>
    <t>テンプレ</t>
  </si>
  <si>
    <t>発注完成形テンプレート実装</t>
  </si>
  <si>
    <t>銘柄/売買/行動/価格/株数/逆指値/利確(分割)/損切/有効期限/無効条件/一言戦略。</t>
  </si>
  <si>
    <t>notifications/templates.py</t>
  </si>
  <si>
    <t>200株:利確2段/100株:1段</t>
  </si>
  <si>
    <t>F063</t>
  </si>
  <si>
    <t>通知階層</t>
  </si>
  <si>
    <t>33</t>
  </si>
  <si>
    <t>4階層通知(緊急/重要/情報/参考)</t>
  </si>
  <si>
    <t>即時LINE/朝夕レポート集約/Dashboard閲覧時のみ、の出し分け。</t>
  </si>
  <si>
    <t>notifications/levels.py</t>
  </si>
  <si>
    <t>F064</t>
  </si>
  <si>
    <t>双方向</t>
  </si>
  <si>
    <t>38</t>
  </si>
  <si>
    <t>LINEコマンド受信(停止/モード変更/承認)</t>
  </si>
  <si>
    <t>Webhook受信、コマンドパース、稼働ON/OFF/モード切替/緊急停止/承認却下。</t>
  </si>
  <si>
    <t>notifications/webhook.py</t>
  </si>
  <si>
    <t>F070</t>
  </si>
  <si>
    <t>レポート</t>
  </si>
  <si>
    <t>朝レポート生成 (08:30送信)</t>
  </si>
  <si>
    <t>NotebookLM風。3行要約/世界情勢/日米市場/ニュース洞察/高確率5件/偏り/今日やること。PDF生成。</t>
  </si>
  <si>
    <t>F061,F021,F022</t>
  </si>
  <si>
    <t>reports/morning.py</t>
  </si>
  <si>
    <t>F071</t>
  </si>
  <si>
    <t>8:40候補通知 (実行候補1〜3)</t>
  </si>
  <si>
    <t>朝5候補から1〜3銘柄厳選。戦略コメント(方針/条件/見送り/利確/損切/監視理由/時間帯)付与。</t>
  </si>
  <si>
    <t>reports/candidate_final.py</t>
  </si>
  <si>
    <t>F072</t>
  </si>
  <si>
    <t>引け後レビュー (16:00送信)</t>
  </si>
  <si>
    <t>売買履歴/実現損益/良し悪し/改善点/再発防止/目標進捗乖離/ポートフォリオ変化。PDF。</t>
  </si>
  <si>
    <t>reports/closing.py</t>
  </si>
  <si>
    <t>F110</t>
  </si>
  <si>
    <t>Market Intelligence Agent</t>
  </si>
  <si>
    <t>朝の市況/ニュース/セクター分析。朝レポート生成。</t>
  </si>
  <si>
    <t>F021,F022,F102</t>
  </si>
  <si>
    <t>agents/market_intel.py</t>
  </si>
  <si>
    <t>F117</t>
  </si>
  <si>
    <t>Review &amp; Journal Agent</t>
  </si>
  <si>
    <t>引け後レビュー、成績分析、学習データ保存。</t>
  </si>
  <si>
    <t>agents/review.py</t>
  </si>
  <si>
    <t>F118</t>
  </si>
  <si>
    <t>4,1</t>
  </si>
  <si>
    <t>Goal Tracking Agent</t>
  </si>
  <si>
    <t>3000万円目標の進捗・乖離管理(日週月次)。±5%〜-20%の5段階判定。</t>
  </si>
  <si>
    <t>F088</t>
  </si>
  <si>
    <t>agents/goal_tracking.py</t>
  </si>
  <si>
    <t>F120</t>
  </si>
  <si>
    <t>13</t>
  </si>
  <si>
    <t>Evaluation評価提案書テンプレ</t>
  </si>
  <si>
    <t>3行要約/総合/候補抽出/執行/リスク/エッジ別/システム/改善提案/採用判断候補。NotebookLM風。</t>
  </si>
  <si>
    <t>agents/eval_template.py</t>
  </si>
  <si>
    <t>後知恵バイアス対策必須</t>
  </si>
  <si>
    <t>F121</t>
  </si>
  <si>
    <t>Evaluation時間軸(日週月)</t>
  </si>
  <si>
    <t>日次:軽微改善 週次:エッジ比較/傾向/ルール修正 月次:勝ち筋/ロット/自動停止/大設計変更。</t>
  </si>
  <si>
    <t>agents/eval_timeframe.py</t>
  </si>
  <si>
    <t>F142</t>
  </si>
  <si>
    <t>価格乖離上限/特買特売禁止/寄り直後制限</t>
  </si>
  <si>
    <t>+0.3%/値嵩+20円超で無効。特買・特売中は新規禁止。9:00-9:05は観察優先。</t>
  </si>
  <si>
    <t>execution/limits.py</t>
  </si>
  <si>
    <t>F143</t>
  </si>
  <si>
    <t>部分約定・未約定処理</t>
  </si>
  <si>
    <t>半端約定に逆指値セット。一定時間で未約定分取消。全約定不可時の戦略縮小。</t>
  </si>
  <si>
    <t>execution/partial_fill.py</t>
  </si>
  <si>
    <t>F150</t>
  </si>
  <si>
    <t>スケジュール</t>
  </si>
  <si>
    <t>9,35</t>
  </si>
  <si>
    <t>運用スケジュール実装</t>
  </si>
  <si>
    <t>8:00朝分析/8:30朝レポ/8:40候補/9:00-9:08寄観察/9:08-9:20初動/9:20-10:30前場メイン/.../15:10強制クローズ/16:00レビュー。</t>
  </si>
  <si>
    <t>runtime/schedule.py</t>
  </si>
  <si>
    <t>F210</t>
  </si>
  <si>
    <t>1,27</t>
  </si>
  <si>
    <t>3000万円2年目標トラッキング</t>
  </si>
  <si>
    <t>日・週・月次で乖離率管理。±5%/-5〜-10%/-10〜-20%/-20%以下の5段階判定。</t>
  </si>
  <si>
    <t>goal/tracking.py</t>
  </si>
  <si>
    <t>F112</t>
  </si>
  <si>
    <t>4,7</t>
  </si>
  <si>
    <t>Swing Selection Agent</t>
  </si>
  <si>
    <t>スイング候補抽出、中期トレンド分析。スコア(業績20/テーマ10/トレンド15/流動性15/RR15/材料10/耐性15)。</t>
  </si>
  <si>
    <t>agents/swing_select.py</t>
  </si>
  <si>
    <t>本番自動執行はしない</t>
  </si>
  <si>
    <t>F113</t>
  </si>
  <si>
    <t>Long-term Selection Agent</t>
  </si>
  <si>
    <t>高配当・成長株抽出。スコア(配当20/成長25/EPS安定15/財務15/優位10/割安10/増配5)。</t>
  </si>
  <si>
    <t>agents/longterm_select.py</t>
  </si>
  <si>
    <t>通知・提案のみ</t>
  </si>
  <si>
    <t>F114</t>
  </si>
  <si>
    <t>Portfolio Balance Agent</t>
  </si>
  <si>
    <t>セクター偏り点検、バランス改善提案。テーマ集中/大型偏重検知。</t>
  </si>
  <si>
    <t>F111,F112,F113</t>
  </si>
  <si>
    <t>agents/portfolio.py</t>
  </si>
  <si>
    <t>F080</t>
  </si>
  <si>
    <t>P5: Dashboard</t>
  </si>
  <si>
    <t>UI</t>
  </si>
  <si>
    <t>Dashboard フロントエンド骨組み</t>
  </si>
  <si>
    <t>Next.js/React。レトロCRT炎テーマ。LP的装飾よりトレーディングコンソール実用性優先。</t>
  </si>
  <si>
    <t>dashboard/</t>
  </si>
  <si>
    <t>F081</t>
  </si>
  <si>
    <t>Dashboard 7ブロック構成</t>
  </si>
  <si>
    <t>A:ヘッダーサマリー B:今日の運用 C:エッジ別成績 D:候補抽出/執行品質 E:リスク/PF F:Evaluation提案 G:システム状態。</t>
  </si>
  <si>
    <t>dashboard/components/</t>
  </si>
  <si>
    <t>F090</t>
  </si>
  <si>
    <t>Dashboard BackendAPI</t>
  </si>
  <si>
    <t>FastAPI/Express。Pattern Store/Feature Store/各種ログからデータ供給。</t>
  </si>
  <si>
    <t>dashboard/api/</t>
  </si>
  <si>
    <t>F082</t>
  </si>
  <si>
    <t>12,13</t>
  </si>
  <si>
    <t>昇格ブロッカー常時表示 (赤字警告)</t>
  </si>
  <si>
    <t>ダッシュボード上部に現在昇格を阻害している条件を赤字で常時表示。</t>
  </si>
  <si>
    <t>F081,F053</t>
  </si>
  <si>
    <t>dashboard/components/Blocker.tsx</t>
  </si>
  <si>
    <t>F083</t>
  </si>
  <si>
    <t>初期10KPI表示</t>
  </si>
  <si>
    <t>今日損益/累積/目標乖離/実行候補/主戦略勝率/建玉/稼働状態/承認待ち/停止理由/Eval提案数。</t>
  </si>
  <si>
    <t>dashboard/components/KPI.tsx</t>
  </si>
  <si>
    <t>F084</t>
  </si>
  <si>
    <t>13,18</t>
  </si>
  <si>
    <t>エッジ別成績ビュー</t>
  </si>
  <si>
    <t>材料初動型/主役テーマ前場初動型/準スキャル/スイング/長期の勝率・平均損益・RR・最大損失・件数。</t>
  </si>
  <si>
    <t>dashboard/components/EdgeScore.tsx</t>
  </si>
  <si>
    <t>F085</t>
  </si>
  <si>
    <t>13,17</t>
  </si>
  <si>
    <t>執行品質可視化ブロック</t>
  </si>
  <si>
    <t>想定vs実約定/乖離率/部分約定率/未約定率/損切スリッページ/利確スリッページ/強制クローズ率/品質スコア。</t>
  </si>
  <si>
    <t>dashboard/components/Execution.tsx</t>
  </si>
  <si>
    <t>F086</t>
  </si>
  <si>
    <t>22</t>
  </si>
  <si>
    <t>データソース健全性モニタ</t>
  </si>
  <si>
    <t>楽天接続可用率/市場データ取得/ニュース/開示/TradingView MCP/LINE/発注成功率/監視遅延。</t>
  </si>
  <si>
    <t>dashboard/components/Health.tsx</t>
  </si>
  <si>
    <t>F087</t>
  </si>
  <si>
    <t>Evaluation Agent 提案レビューUI</t>
  </si>
  <si>
    <t>提案タイトル/対象/理由/想定効果/リスク/優先度/ステータス(未確認/承認待/採用/却下/保留)/承認却下ボタン。</t>
  </si>
  <si>
    <t>dashboard/components/Proposals.tsx</t>
  </si>
  <si>
    <t>13,27</t>
  </si>
  <si>
    <t>目標進捗/乖離表示</t>
  </si>
  <si>
    <t>現在総資産/理想進捗/乖離額/乖離率/日週月必要進捗。運用状態と並列表示(攻めすぎ防止)。</t>
  </si>
  <si>
    <t>dashboard/components/GoalProgress.tsx</t>
  </si>
  <si>
    <t>F239</t>
  </si>
  <si>
    <t>連携</t>
  </si>
  <si>
    <t>06,23</t>
  </si>
  <si>
    <t>Google Calendar 連携 or 朝一言 スケジュール共有</t>
  </si>
  <si>
    <t>Fujiwara さんの当日スケジュール(15:00-15:10 対応困難日等)を FIRE に伝える仕組み。初期は LINE で朝一言「今日 15時以降会議あり」送信、将来 Google Calendar API 連携に拡張。FIRE は「今日は前場引けで全クローズ推奨」等を判断。</t>
  </si>
  <si>
    <t>スケジュール共有機構(LINE or Calendar API)</t>
  </si>
  <si>
    <t>v3.3 新規。まずは LINE 朝一言で十分</t>
  </si>
  <si>
    <t>F089</t>
  </si>
  <si>
    <t>時間軸ビュー切替(当日/週次/月次)</t>
  </si>
  <si>
    <t>当日/週次/月次ビューの切替。各ビューの必要情報を要件書通り配置。</t>
  </si>
  <si>
    <t>dashboard/views/</t>
  </si>
  <si>
    <t>F100</t>
  </si>
  <si>
    <t>P6: 証券API連携</t>
  </si>
  <si>
    <t>データ</t>
  </si>
  <si>
    <t>14,22</t>
  </si>
  <si>
    <t>市場データAPI連携(2位: 補助)</t>
  </si>
  <si>
    <t>日経225/TOPIX/為替/原油。リアルタイム取得。</t>
  </si>
  <si>
    <t>data/market_api.py</t>
  </si>
  <si>
    <t>F101</t>
  </si>
  <si>
    <t>TDnet/IR API連携</t>
  </si>
  <si>
    <t>適時開示/決算短信取得・パース。</t>
  </si>
  <si>
    <t>data/tdnet.py</t>
  </si>
  <si>
    <t>F102</t>
  </si>
  <si>
    <t>ニュースAPI連携</t>
  </si>
  <si>
    <t>市況/個別材料。鮮度・質判定の前処理。</t>
  </si>
  <si>
    <t>data/news.py</t>
  </si>
  <si>
    <t>F105</t>
  </si>
  <si>
    <t>発注</t>
  </si>
  <si>
    <t>発注・注文管理モジュール</t>
  </si>
  <si>
    <t>新規/利確/損切/逆指値/取消/修正。部分約定ハンドリング。</t>
  </si>
  <si>
    <t>F104</t>
  </si>
  <si>
    <t>broker/orders.py</t>
  </si>
  <si>
    <t>F106</t>
  </si>
  <si>
    <t>縮退</t>
  </si>
  <si>
    <t>データソース5段階縮退モード</t>
  </si>
  <si>
    <t>通常/限定運用/通知専用/保有管理専用/緊急停止。発動条件と運用内容自動判定。</t>
  </si>
  <si>
    <t>F100,F104</t>
  </si>
  <si>
    <t>runtime/degraded_mode.py</t>
  </si>
  <si>
    <t>F107</t>
  </si>
  <si>
    <t>5原則実装(正本固定/複線化/守備化/通知依存/止まることも成功)</t>
  </si>
  <si>
    <t>各原則を運用フローに埋め込み。可用率/遅延/モード遷移をDashboardで監視。</t>
  </si>
  <si>
    <t>runtime/degraded_rules.py</t>
  </si>
  <si>
    <t>F240</t>
  </si>
  <si>
    <t>Gmail API 約定通知メール自動取込</t>
  </si>
  <si>
    <t>楽天証券の約定通知メールを Gmail API 経由で取得、パース、FIRE の建玉DBに自動記録。M+2 以降に稼働開始。それまでは LINE 手動報告で運用。メール内容から約定価格・数量・時刻・部分約定を抽出。</t>
  </si>
  <si>
    <t>Gmail API 経由約定取込機構</t>
  </si>
  <si>
    <t>v3.3 新規。M+2 以降稼働</t>
  </si>
  <si>
    <t>F103</t>
  </si>
  <si>
    <t>TradingView MCP連携</t>
  </si>
  <si>
    <t>チャート/ライン/テクニカル確認。補助用(単独正本にしない)。</t>
  </si>
  <si>
    <t>data/tradingview.py</t>
  </si>
  <si>
    <t>F170</t>
  </si>
  <si>
    <t>P7: Live Advisory</t>
  </si>
  <si>
    <t>モード</t>
  </si>
  <si>
    <t>12,38</t>
  </si>
  <si>
    <t>5段階運用モード実装</t>
  </si>
  <si>
    <t>off / observe_only / paper_live / semi_auto / full_auto。UIとLINEの両方から切替可能。</t>
  </si>
  <si>
    <t>F064,F090</t>
  </si>
  <si>
    <t>runtime/modes.py</t>
  </si>
  <si>
    <t>F190</t>
  </si>
  <si>
    <t>12,19,32,34</t>
  </si>
  <si>
    <t>Paper→Semi昇格基準完全版</t>
  </si>
  <si>
    <t>20営業日or50トレ+期待値+DD+Optimistic Bias+強制クローズ100%+停止機能正常+Evaluation確認。</t>
  </si>
  <si>
    <t>F053,F047</t>
  </si>
  <si>
    <t>migration/paper_to_semi.py</t>
  </si>
  <si>
    <t>F171</t>
  </si>
  <si>
    <t>特別モード(travel/maintenance/emergency)</t>
  </si>
  <si>
    <t>travel_mode(旅行)/maintenance_mode(保守)/emergency_stop(緊急)。安全確認チェックリスト付き。</t>
  </si>
  <si>
    <t>runtime/special_modes.py</t>
  </si>
  <si>
    <t>F173</t>
  </si>
  <si>
    <t>28</t>
  </si>
  <si>
    <t>Heartbeatチェック/長期ノータッチ防止</t>
  </si>
  <si>
    <t>3営業日以上Dashboard/LINE未確認で監督注意通知。長期レビュー未実施でFull Auto継続警告。</t>
  </si>
  <si>
    <t>runtime/heartbeat.py</t>
  </si>
  <si>
    <t>F241</t>
  </si>
  <si>
    <t>12,32,39</t>
  </si>
  <si>
    <t>Live Advisory 昇格条件検証</t>
  </si>
  <si>
    <t>Paper Live → Live Advisory 昇格前の必須チェックリスト:20営業日 or 50トレード以上、期待値プラス、最大DD内、Simulation Accuracy、LINE 5部屋正常動作、緊急ポジション整理アラート動作、Fujiwara さん受容体制。Evaluation Agent 昇格提案書作成。</t>
  </si>
  <si>
    <t>F238,F236</t>
  </si>
  <si>
    <t>昇格判定レポート + 承認フロー</t>
  </si>
  <si>
    <t>v3.3 新規。M=0 移行判定の公式フロー</t>
  </si>
  <si>
    <t>F172</t>
  </si>
  <si>
    <t>休止期間設定</t>
  </si>
  <si>
    <t>期間指定休止。休止中モード選択/通知方針/夜間バッチ継続可否。</t>
  </si>
  <si>
    <t>runtime/pause_schedule.py</t>
  </si>
  <si>
    <t>F160</t>
  </si>
  <si>
    <t>P8: Full Auto(将来)</t>
  </si>
  <si>
    <t>安全装置</t>
  </si>
  <si>
    <t>12</t>
  </si>
  <si>
    <t>signal_id 冪等性実装</t>
  </si>
  <si>
    <t>各エントリーは一意のsignal_idに紐付き、同一IDの発注はシステム全体で1回のみ。</t>
  </si>
  <si>
    <t>safety/idempotency.py</t>
  </si>
  <si>
    <t>Full Auto移行時の5層防御1</t>
  </si>
  <si>
    <t>F161</t>
  </si>
  <si>
    <t>発注レート物理上限</t>
  </si>
  <si>
    <t>1秒間に2件以上の新規発注送信をAPIレベルで不可。</t>
  </si>
  <si>
    <t>safety/rate_limit.py</t>
  </si>
  <si>
    <t>5層防御2</t>
  </si>
  <si>
    <t>F162</t>
  </si>
  <si>
    <t>同一銘柄ポジション上限</t>
  </si>
  <si>
    <t>同一銘柄保有が総資産1.5%超過で新規停止。</t>
  </si>
  <si>
    <t>safety/position_cap.py</t>
  </si>
  <si>
    <t>5層防御3</t>
  </si>
  <si>
    <t>F163</t>
  </si>
  <si>
    <t>異常シグナル検知</t>
  </si>
  <si>
    <t>IDなし/検知から発注まで100ms未満の異常発注を自動破棄。</t>
  </si>
  <si>
    <t>safety/anomaly.py</t>
  </si>
  <si>
    <t>5層防御4</t>
  </si>
  <si>
    <t>F164</t>
  </si>
  <si>
    <t>毎朝同意+トリプルハートビート</t>
  </si>
  <si>
    <t>毎朝「自動発注ON」タップなしはSemi Auto。証券API/市場データ/ニュースの3系統正常時のみFull Auto許可。</t>
  </si>
  <si>
    <t>F064,F106</t>
  </si>
  <si>
    <t>safety/daily_consent.py</t>
  </si>
  <si>
    <t>5層防御5</t>
  </si>
  <si>
    <t>F191</t>
  </si>
  <si>
    <t>32,34</t>
  </si>
  <si>
    <t>Semi→Full昇格基準</t>
  </si>
  <si>
    <t>20営業日or50実注/実約定expectancy&gt;0/slippage許容内/強制クローズ100%/稼働率十分/Evaluation提案/ユーザー承認。</t>
  </si>
  <si>
    <t>migration/semi_to_full.py</t>
  </si>
  <si>
    <t>F192</t>
  </si>
  <si>
    <t>34</t>
  </si>
  <si>
    <t>Evaluation昇格提案書</t>
  </si>
  <si>
    <t>成績サマリー/エッジ別/執行品質/システム品質/停止テスト/Optimistic Bias/懸念点/判定。</t>
  </si>
  <si>
    <t>F120,F190</t>
  </si>
  <si>
    <t>migration/promotion_report.py</t>
  </si>
  <si>
    <t>F193</t>
  </si>
  <si>
    <t>昇格禁止条件/降格即時ルール</t>
  </si>
  <si>
    <t>期待値マイナス/DD過大/Bias高/強制クローズ失敗/緊急停止動作不良/主戦略件数不足で昇格禁止。重大障害で即降格。</t>
  </si>
  <si>
    <t>migration/block_rules.py</t>
  </si>
  <si>
    <t>F220</t>
  </si>
  <si>
    <t>P9: 運用・保守</t>
  </si>
  <si>
    <t>ロードマップ</t>
  </si>
  <si>
    <t>39</t>
  </si>
  <si>
    <t>M-3 Stage 0/1/2 爆速蓄積フェーズ</t>
  </si>
  <si>
    <t>実弾未投入。Mac mini常時稼働による過去データ高速リプレイ+Paper Live並列実行。M-3開始条件: F013(launchd設定)完了。</t>
  </si>
  <si>
    <t>F040,F041,F045,F050,F013</t>
  </si>
  <si>
    <t>蓄積ログ</t>
  </si>
  <si>
    <t>3ヶ月。Mac mini到着・常駐化が前提</t>
  </si>
  <si>
    <t>F221</t>
  </si>
  <si>
    <t>M=0 Stage 3 実弾初月(半減)</t>
  </si>
  <si>
    <t>デイトレ0.2%。執行実測データ収集。初月から黒字化目標。</t>
  </si>
  <si>
    <t>F220,F104</t>
  </si>
  <si>
    <t>実弾運用</t>
  </si>
  <si>
    <t>リスク係数半減</t>
  </si>
  <si>
    <t>F222</t>
  </si>
  <si>
    <t>M+1 リスク枠拡大(0.3%)</t>
  </si>
  <si>
    <t>執行乖離が想定内を確認しリスク拡大。</t>
  </si>
  <si>
    <t>F223</t>
  </si>
  <si>
    <t>M+2〜 フルリスク(0.4%)</t>
  </si>
  <si>
    <t>要件書通りのフルリスク運用。Pattern Library浄化と期待値安定化。</t>
  </si>
  <si>
    <t>F224</t>
  </si>
  <si>
    <t>M+3〜 SランクのみFull Auto移行</t>
  </si>
  <si>
    <t>デイトレSランクのみFull Auto。スイング・長期はSemi Auto維持。</t>
  </si>
  <si>
    <t>F223,F164,F191</t>
  </si>
  <si>
    <t>Full Auto部分運用</t>
  </si>
  <si>
    <t>F230</t>
  </si>
  <si>
    <t>13,21</t>
  </si>
  <si>
    <t>docs/ Obsidian連携.md整備</t>
  </si>
  <si>
    <t>各設計書/エージェント仕様/Pattern定義/運用手順をMarkdownで作成、Obsidianからクロスリンク。</t>
  </si>
  <si>
    <t>docs/</t>
  </si>
  <si>
    <t>F231</t>
  </si>
  <si>
    <t>テスト</t>
  </si>
  <si>
    <t>ユニット/統合テスト基盤</t>
  </si>
  <si>
    <t>pytest/jest設定。CI(GitHub Actions)セットアップ。カバレッジ計測。</t>
  </si>
  <si>
    <t>tests/</t>
  </si>
  <si>
    <t>F232</t>
  </si>
  <si>
    <t>運用</t>
  </si>
  <si>
    <t>28,33</t>
  </si>
  <si>
    <t>監督者付き自律運用フロー文書化</t>
  </si>
  <si>
    <t>日次/週次/月次の監督頻度、承認対象、Heartbeat、緊急停止解除の手順を明文化。</t>
  </si>
  <si>
    <t>docs/ops/supervision.md</t>
  </si>
  <si>
    <t>F233</t>
  </si>
  <si>
    <t>M-3〜M+3 週次レビューテンプレ</t>
  </si>
  <si>
    <t>Obsidianで週次レビュー記入用テンプレ作成。タスクID参照・GitHub Issueと連携。</t>
  </si>
  <si>
    <t>docs/weekly_review_template.md</t>
  </si>
  <si>
    <t>F234</t>
  </si>
  <si>
    <t>バックアップ</t>
  </si>
  <si>
    <t>DB/ログのバックアップ戦略</t>
  </si>
  <si>
    <t>Pattern Store/Feature Store/Live Research LogのバックアップとDR。</t>
  </si>
  <si>
    <t>scripts/backup.sh</t>
  </si>
  <si>
    <t>F039</t>
  </si>
  <si>
    <t>21,31</t>
  </si>
  <si>
    <t>sector_filter / symbol_whitelist メタデータ対応</t>
  </si>
  <si>
    <t>patternsにsector_filter/symbol_whitelist/symbol_blacklistカラム追加。F031類似度検索で銘柄/セクター絞り込み。命名規則は維持してmetadata運用。穴12対策。</t>
  </si>
  <si>
    <t>F027,F031</t>
  </si>
  <si>
    <t>patterns/sector_filter.py / migrate_sector_filter.py</t>
  </si>
  <si>
    <t>穴12対策。半導体・海運・銀行など、セクター/銘柄個別特性を持つパターンの精度向上。Fujiwara指摘事項。</t>
  </si>
  <si>
    <t>F243</t>
  </si>
  <si>
    <t>Sector/Symbol特化パターン研究機能</t>
  </si>
  <si>
    <t>Pattern Research Agentにsector_filter/symbol_whitelist活用機能追加。セクター別成績集計・特定銘柄連動パターン発見・銘柄群絞込み提案。F036のlive_research_logと連携。</t>
  </si>
  <si>
    <t>F035,F036,F039</t>
  </si>
  <si>
    <t>agents/pattern_research.py 機能拡張</t>
  </si>
  <si>
    <t>穴12対策。半導体株のSOX連動、トヨタ為替連動など、セクター/銘柄個別性のあるパターン研究を強化。</t>
  </si>
  <si>
    <t>FIRE 開発 — フェーズ別進捗サマリー</t>
  </si>
  <si>
    <t>総タスク数</t>
  </si>
  <si>
    <t>実装中+検証中</t>
  </si>
  <si>
    <t>完了率</t>
  </si>
  <si>
    <t>合計</t>
  </si>
  <si>
    <t>優先度別サマリー</t>
  </si>
  <si>
    <t>開発フェーズ(D) と 運用フェーズ(M) の関係</t>
  </si>
  <si>
    <t>Mac mini 到着待ちの期間を有効活用するための開発・運用フェーズ分離計画</t>
  </si>
  <si>
    <t>■ 開発フェーズ (Windows PCで進行可)</t>
  </si>
  <si>
    <t>Dev Phase</t>
  </si>
  <si>
    <t>名称</t>
  </si>
  <si>
    <t>主要タスク</t>
  </si>
  <si>
    <t>OS依存</t>
  </si>
  <si>
    <t>プラットフォーム</t>
  </si>
  <si>
    <t>Mac mini必要？</t>
  </si>
  <si>
    <t>D1</t>
  </si>
  <si>
    <t>基盤・環境構築</t>
  </si>
  <si>
    <t>F001(Win環境) F004(Gitリポ) F005(CLAUDE.md) F006(README.md) F007(Obsidian) F008(ディレクトリ) F009(.env) F010(ログ) F011(DB) F014(クロスPF設計)</t>
  </si>
  <si>
    <t>なし</t>
  </si>
  <si>
    <t>Windows PC</t>
  </si>
  <si>
    <t>不要</t>
  </si>
  <si>
    <t>D2</t>
  </si>
  <si>
    <t>Pattern/Feature Store実装</t>
  </si>
  <si>
    <t>F020〜F038(Feature Store, Pattern Store 4階層, DEATH NOTE, REHAB, Pattern Research Agent)</t>
  </si>
  <si>
    <t>D3</t>
  </si>
  <si>
    <t>Simulation/Backtest/Paper Liveロジック</t>
  </si>
  <si>
    <t>F040〜F053(Backtest, Replay, 3約定モデル, 高速リプレイ並列, Paper Live本体, 仮想管理)</t>
  </si>
  <si>
    <t>なし(Python計算)</t>
  </si>
  <si>
    <t>D4</t>
  </si>
  <si>
    <t>エージェント群+LINE通知+Dashboard</t>
  </si>
  <si>
    <t>F060〜F090(LINE連携, 朝/引けレポート), F110〜F121(10エージェント), F080〜F090(Dashboard)</t>
  </si>
  <si>
    <t>なし(Python/Node)</t>
  </si>
  <si>
    <t>D5</t>
  </si>
  <si>
    <t>リスク管理・執行品質・5層防御・ラベル定義</t>
  </si>
  <si>
    <t>F130〜F144(リスク/執行ゲート/スリッページ監視), F160〜F164(5層防御), F180〜F183(ラベル)</t>
  </si>
  <si>
    <t>D6</t>
  </si>
  <si>
    <t>証券API連携+縮退運転</t>
  </si>
  <si>
    <t>F100〜F107(市場データ/TDnet/News/TradingView/楽天API/縮退5段階)</t>
  </si>
  <si>
    <t>なし(API接続)</t>
  </si>
  <si>
    <t>D7</t>
  </si>
  <si>
    <t>Windows擬似運用でPaper Live検証</t>
  </si>
  <si>
    <t>F015(Winタスクスケジューラ)で日中Paper Live動作確認・不具合洗い出し</t>
  </si>
  <si>
    <t>Windows固有</t>
  </si>
  <si>
    <t>D8</t>
  </si>
  <si>
    <t>Mac mini移行</t>
  </si>
  <si>
    <t>F002(Mac初期設定) F003(開発環境) F013(launchd) F016(移行チェック)</t>
  </si>
  <si>
    <t>Mac固有</t>
  </si>
  <si>
    <t>Mac mini</t>
  </si>
  <si>
    <t>必須</t>
  </si>
  <si>
    <t>■ 運用フェーズ (Mac mini到着後に開始)</t>
  </si>
  <si>
    <t>Ops Phase</t>
  </si>
  <si>
    <t>Stage</t>
  </si>
  <si>
    <t>実弾</t>
  </si>
  <si>
    <t>デイトレリスク</t>
  </si>
  <si>
    <t>主要アクション</t>
  </si>
  <si>
    <t>前提条件</t>
  </si>
  <si>
    <t>M-3 〜 M-1</t>
  </si>
  <si>
    <t>Stage 0/1/2</t>
  </si>
  <si>
    <t>未投入</t>
  </si>
  <si>
    <t>—</t>
  </si>
  <si>
    <t>Mac mini常時稼働で過去データ高速リプレイ+Paper Live並列実行。パターン爆速蓄積。</t>
  </si>
  <si>
    <t>D1-D8完了 / Mac mini常駐化完了</t>
  </si>
  <si>
    <t>M=0 (運用初月)</t>
  </si>
  <si>
    <t>Stage 3 Semi Auto</t>
  </si>
  <si>
    <t>投入</t>
  </si>
  <si>
    <t>0.2% (半減)</t>
  </si>
  <si>
    <t>執行実測データ収集。初月から黒字化目標。</t>
  </si>
  <si>
    <t>Paper→Semi昇格基準クリア</t>
  </si>
  <si>
    <t>M+1</t>
  </si>
  <si>
    <t>0.3%</t>
  </si>
  <si>
    <t>リスク枠拡大。Pattern Libraryの浄化開始。</t>
  </si>
  <si>
    <t>執行乖離が想定内</t>
  </si>
  <si>
    <t>M+2</t>
  </si>
  <si>
    <t>0.4% (フルリスク)</t>
  </si>
  <si>
    <t>フルリスク運用。期待値安定化。</t>
  </si>
  <si>
    <t>継続的な期待値プラス</t>
  </si>
  <si>
    <t>M+3 以降</t>
  </si>
  <si>
    <t>Stage 4 部分Full Auto</t>
  </si>
  <si>
    <t>0.4%</t>
  </si>
  <si>
    <t>Semi→Full昇格基準クリア</t>
  </si>
  <si>
    <t>■ 重要な考え方</t>
  </si>
  <si>
    <t>1. Mac mini到着までの期間は、D1〜D7 の開発作業に最大限使う。コード実装・テスト・Simulation検証までWindows PCで完結可能。</t>
  </si>
  <si>
    <t>2. D8 (Mac mini移行) は、Mac mini到着後に短期間で一気に実施。F002→F003→F013→F016の順。</t>
  </si>
  <si>
    <t>3. M-3 (運用立ち上げ・パターン爆速蓄積) は、Mac mini常駐化後に正式スタート。Mac到着遅延がM=0を後ろ倒しする。</t>
  </si>
  <si>
    <t>4. ただしWindows PC上でもD7(擬似Paper Live検証)でPattern Storeの仮蓄積は可能。Macに移行した時点で過去データリプレイも高速実行できる。</t>
  </si>
  <si>
    <t>5. 要件書15章の「Pattern Store最優先→Paper Live→証券API」の順序は維持。証券API(F104)もWindows PCで実装可能だが、本番実弾はMac miniに移行後。</t>
  </si>
  <si>
    <t>6. Mac mini到着が遅れるほど、D1-D7の完成度を上げる時間が増える。これは要件書39章のM-3(爆速蓄積)の期間を実質前倒しすることに相当する。</t>
  </si>
  <si>
    <t>FIRE 10エージェント 実装チェックリスト</t>
  </si>
  <si>
    <t>エージェント名</t>
  </si>
  <si>
    <t>責務</t>
  </si>
  <si>
    <t>関連タスクID</t>
  </si>
  <si>
    <t>実装ファイル</t>
  </si>
  <si>
    <t>朝の市況・ニュース・セクター分析、朝レポート生成</t>
  </si>
  <si>
    <t>F110, F070</t>
  </si>
  <si>
    <t>デイトレ候補抽出・厳選(1〜3銘柄)、スコア付与</t>
  </si>
  <si>
    <t>F111, F200</t>
  </si>
  <si>
    <t>スイング候補抽出、中期トレンド分析</t>
  </si>
  <si>
    <t>高配当・成長株抽出、長期スコア付与</t>
  </si>
  <si>
    <t>セクター偏り点検、バランス改善提案</t>
  </si>
  <si>
    <t>エントリー/利確/損切/株数提案、リスク計算、注文案生成</t>
  </si>
  <si>
    <t>F115, F130</t>
  </si>
  <si>
    <t>価格到達監視、LINE通知発火</t>
  </si>
  <si>
    <t>F116, F061</t>
  </si>
  <si>
    <t>引け後レビュー、成績分析、学習データ保存</t>
  </si>
  <si>
    <t>F117, F072</t>
  </si>
  <si>
    <t>3000万円目標進捗・乖離管理(日週月次)</t>
  </si>
  <si>
    <t>F118, F210</t>
  </si>
  <si>
    <t>評価提案書作成(自動反映禁止・承認制)</t>
  </si>
  <si>
    <t>F119, F120, F121</t>
  </si>
  <si>
    <t>パターン発見・定義・更新提案(研究責任者)</t>
  </si>
  <si>
    <t>F035, F036</t>
  </si>
  <si>
    <t>Stage 昇格ゲート チェックリスト(要件書32章・34章)</t>
  </si>
  <si>
    <t>Stage移行</t>
  </si>
  <si>
    <t>条件</t>
  </si>
  <si>
    <t>基準</t>
  </si>
  <si>
    <t>判定方法</t>
  </si>
  <si>
    <t>状態</t>
  </si>
  <si>
    <t>Stage0→1 (Backtest→Replay)</t>
  </si>
  <si>
    <t>戦略ロジックが動作する</t>
  </si>
  <si>
    <t>Backtestで候補抽出/損益計算が回る</t>
  </si>
  <si>
    <t>simulation/backtest.py 実行</t>
  </si>
  <si>
    <t>未達</t>
  </si>
  <si>
    <t>Stage1→2 (Replay→Paper Live)</t>
  </si>
  <si>
    <t>後知恵バイアス排除検証済</t>
  </si>
  <si>
    <t>Replayで当時情報のみで判断できる</t>
  </si>
  <si>
    <t>simulation/replay.py 実行</t>
  </si>
  <si>
    <t>Stage2→3 (Paper→Semi Auto)</t>
  </si>
  <si>
    <t>サンプル数</t>
  </si>
  <si>
    <t>20営業日 or 50トレード(過去高速リプレイで短縮可)</t>
  </si>
  <si>
    <t>promotion_check.py</t>
  </si>
  <si>
    <t>主戦略期待値</t>
  </si>
  <si>
    <t>expectancy &gt; 0</t>
  </si>
  <si>
    <t>expectancy計算</t>
  </si>
  <si>
    <t>最大DD</t>
  </si>
  <si>
    <t>総資産比 -5% を大きく超えない</t>
  </si>
  <si>
    <t>DD計算</t>
  </si>
  <si>
    <t>強制クローズ成功率</t>
  </si>
  <si>
    <t>100%</t>
  </si>
  <si>
    <t>force_close テスト</t>
  </si>
  <si>
    <t>停止機能</t>
  </si>
  <si>
    <t>日次/週次損失上限・緊急停止正常動作</t>
  </si>
  <si>
    <t>統合テスト</t>
  </si>
  <si>
    <t>Optimistic Bias</t>
  </si>
  <si>
    <t>許容範囲内</t>
  </si>
  <si>
    <t>bias_score.py</t>
  </si>
  <si>
    <t>Evaluation Agent確認</t>
  </si>
  <si>
    <t>明確な改善提案が残っていない</t>
  </si>
  <si>
    <t>Evaluation承認</t>
  </si>
  <si>
    <t>Stage3→4 (Semi→Full Auto)</t>
  </si>
  <si>
    <t>Semi Auto実績</t>
  </si>
  <si>
    <t>20営業日 or 50実注</t>
  </si>
  <si>
    <t>実注履歴</t>
  </si>
  <si>
    <t>実約定期待値</t>
  </si>
  <si>
    <t>expectancy &gt; 0 (実約定ベース)</t>
  </si>
  <si>
    <t>実績集計</t>
  </si>
  <si>
    <t>平均スリッページ</t>
  </si>
  <si>
    <t>avg_slippage 許容範囲内</t>
  </si>
  <si>
    <t>slippage監視</t>
  </si>
  <si>
    <t>実績確認</t>
  </si>
  <si>
    <t>システム稼働率</t>
  </si>
  <si>
    <t>broker_uptime/system_uptime 十分</t>
  </si>
  <si>
    <t>health監視</t>
  </si>
  <si>
    <t>Evaluation昇格提案</t>
  </si>
  <si>
    <t>昇格推奨が出る</t>
  </si>
  <si>
    <t>promotion_report.py</t>
  </si>
  <si>
    <t>ユーザー承認</t>
  </si>
  <si>
    <t>必ずユーザーが最終承認</t>
  </si>
  <si>
    <t>手動承認</t>
  </si>
  <si>
    <t>昇格禁止条件(共通)</t>
  </si>
  <si>
    <t>期待値マイナス/DD過大/Bias高/クローズ失敗/緊急停止動作不良/主戦略件数不足/執行品質悪化/監督負荷高</t>
  </si>
  <si>
    <t>いずれか該当で昇格禁止</t>
  </si>
  <si>
    <t>block_rules.py</t>
  </si>
  <si>
    <t>運用立ち上げロードマップ (要件書39章)</t>
  </si>
  <si>
    <t>期間</t>
  </si>
  <si>
    <t>完了条件</t>
  </si>
  <si>
    <t>Paper→Semi昇格条件を全てクリア</t>
  </si>
  <si>
    <t>Stage 3 (Semi Auto)</t>
  </si>
  <si>
    <t>執行乖離が想定内・20営業日経過</t>
  </si>
  <si>
    <t>0.4% (要件書通り)</t>
  </si>
  <si>
    <t>Semi→Full昇格条件クリア</t>
  </si>
  <si>
    <t>Stage 4 (部分 Full Auto)</t>
  </si>
  <si>
    <t>要件書で特定された「穴」と対策チェック (穴1〜12)</t>
  </si>
  <si>
    <t>穴</t>
  </si>
  <si>
    <t>問題</t>
  </si>
  <si>
    <t>対策(章)</t>
  </si>
  <si>
    <t>対応タスクID</t>
  </si>
  <si>
    <t>穴1: エッジが弱い</t>
  </si>
  <si>
    <t>エッジの根拠が曖昧</t>
  </si>
  <si>
    <t>再現性優位で定義 (26章)</t>
  </si>
  <si>
    <t>F031, F032, F200</t>
  </si>
  <si>
    <t>穴2: 約定品質</t>
  </si>
  <si>
    <t>執行品質が悪い</t>
  </si>
  <si>
    <t>執行品質ゲート (17章)</t>
  </si>
  <si>
    <t>F140, F141, F142, F143, F144</t>
  </si>
  <si>
    <t>穴3: データソース依存</t>
  </si>
  <si>
    <t>依存先が死ぬと事故</t>
  </si>
  <si>
    <t>縮退運転 (22章)</t>
  </si>
  <si>
    <t>F106, F107</t>
  </si>
  <si>
    <t>穴4: 広げすぎ</t>
  </si>
  <si>
    <t>最初の焦点がぼやける</t>
  </si>
  <si>
    <t>主戦略集中 (24章)</t>
  </si>
  <si>
    <t>F200, F201</t>
  </si>
  <si>
    <t>穴5: 目標で攻めすぎ</t>
  </si>
  <si>
    <t>目標圧力で規律崩壊</t>
  </si>
  <si>
    <t>目標と攻撃性を分離 (27章)</t>
  </si>
  <si>
    <t>F210, F211</t>
  </si>
  <si>
    <t>穴6: 完全放置</t>
  </si>
  <si>
    <t>無監督化で事故</t>
  </si>
  <si>
    <t>監督者付き自律運用 (28章)</t>
  </si>
  <si>
    <t>F164, F173</t>
  </si>
  <si>
    <t>穴7: ラベル曖昧</t>
  </si>
  <si>
    <t>成功/失敗定義が弱い</t>
  </si>
  <si>
    <t>Success/Failure/Timeout/Invalid 4分類 (29章)</t>
  </si>
  <si>
    <t>F180, F181, F182, F183</t>
  </si>
  <si>
    <t>穴8: 特徴量過多</t>
  </si>
  <si>
    <t>類似局面見つからない/過剰適合</t>
  </si>
  <si>
    <t>初期は最小コアセットに絞る (30章)</t>
  </si>
  <si>
    <t>F020, F021, F022, F023, F024, F025, F026</t>
  </si>
  <si>
    <t>穴9: Pattern Store品質</t>
  </si>
  <si>
    <t>重複・似すぎ・名前違いが増える</t>
  </si>
  <si>
    <t>命名規則/統合ルール/バージョン管理 (31章)</t>
  </si>
  <si>
    <t>F030, F037</t>
  </si>
  <si>
    <t>穴10: 本番移行基準</t>
  </si>
  <si>
    <t>昇格基準が曖昧</t>
  </si>
  <si>
    <t>完全版昇格条件 (32章)</t>
  </si>
  <si>
    <t>F190, F191, F192, F193</t>
  </si>
  <si>
    <t>穴11: 運用負荷上限</t>
  </si>
  <si>
    <t>提案/通知/承認が多すぎて疲れる</t>
  </si>
  <si>
    <t>通知階層化・承認最小化・初期KPI絞り込み (33章)</t>
  </si>
  <si>
    <t>F063, F083, F172</t>
  </si>
  <si>
    <t>穴12: セクター/銘柄特有性</t>
  </si>
  <si>
    <t>パターンが銘柄・セクター個別性を表現できない</t>
  </si>
  <si>
    <t>sector_filter/symbol_whitelistでパターン絞込み (21章)</t>
  </si>
  <si>
    <t>F039, F243</t>
  </si>
  <si>
    <t>要件トレーサビリティマトリクス (RTM) — 要件書 v3.1 全要件とタスクIDの対応</t>
  </si>
  <si>
    <t>使い方: E列「タスク紐付け件数」が0の行は赤ハイライト(抜け漏れ)。要件をタスク化するか、理由を記載する。</t>
  </si>
  <si>
    <t>要件ID</t>
  </si>
  <si>
    <t>章</t>
  </si>
  <si>
    <t>節タイトル</t>
  </si>
  <si>
    <t>要件内容</t>
  </si>
  <si>
    <t>タスク紐付け件数</t>
  </si>
  <si>
    <t>R-01-01</t>
  </si>
  <si>
    <t>プロダクト名 FIRE</t>
  </si>
  <si>
    <t>日本株専門AIエージェントシステム</t>
  </si>
  <si>
    <t>F005, F006</t>
  </si>
  <si>
    <t>R-01-02</t>
  </si>
  <si>
    <t>UIテーマ: レトロCRT炎</t>
  </si>
  <si>
    <t>ダーク高級路線ではなく昔のブローカー端末風</t>
  </si>
  <si>
    <t>R-01-03</t>
  </si>
  <si>
    <t>最重要目的: 兼業前提の月次年次利益最大化</t>
  </si>
  <si>
    <t>LINE通知で発注完結、再現性高く利益最大化</t>
  </si>
  <si>
    <t>F062, F070, F071</t>
  </si>
  <si>
    <t>R-01-04</t>
  </si>
  <si>
    <t>資産目標: 2年で3000万円</t>
  </si>
  <si>
    <t>目標未達時も無謀なリスク拡大禁止</t>
  </si>
  <si>
    <t>R-01-05</t>
  </si>
  <si>
    <t>乖離率5段階判定(+5%/±5%内/-10%/-20%/再設計)</t>
  </si>
  <si>
    <t>日・週・月次で管理</t>
  </si>
  <si>
    <t>R-01-06</t>
  </si>
  <si>
    <t>v3.1アップデート: 運用立ち上げロードマップ</t>
  </si>
  <si>
    <t>M-3〜M+3までのリスク逓増</t>
  </si>
  <si>
    <t>F220, F221, F222, F223, F224</t>
  </si>
  <si>
    <t>R-01-07</t>
  </si>
  <si>
    <t>v3.1: 過去データ高速リプレイ並列実行</t>
  </si>
  <si>
    <t>Stage昇格日数短縮</t>
  </si>
  <si>
    <t>R-01-08</t>
  </si>
  <si>
    <t>v3.1: Full Auto時 5層防御</t>
  </si>
  <si>
    <t>シグナルベース重複防御</t>
  </si>
  <si>
    <t>F160, F161, F162, F163, F164</t>
  </si>
  <si>
    <t>R-01-09</t>
  </si>
  <si>
    <t>v3.1: 執行品質段階的アラート+自己キャリブレーション</t>
  </si>
  <si>
    <t>実測値ベース</t>
  </si>
  <si>
    <t>R-01-10</t>
  </si>
  <si>
    <t>v3.1: 主戦略80%/準戦略20% 優先順位</t>
  </si>
  <si>
    <t>M+2までPaper並走</t>
  </si>
  <si>
    <t>R-01-11</t>
  </si>
  <si>
    <t>v3.1: ハイブリッド執行方針</t>
  </si>
  <si>
    <t>Sランク材料=逆指値→成行、通常=指値主体</t>
  </si>
  <si>
    <t>R-01-12</t>
  </si>
  <si>
    <t>v3.1: Paper Live厳しめ約定モデル</t>
  </si>
  <si>
    <t>+2ティック/値嵩1.5倍/寄り直後1.5倍</t>
  </si>
  <si>
    <t>F044, F052</t>
  </si>
  <si>
    <t>R-01-13</t>
  </si>
  <si>
    <t>v3.1: 昇格ブロッカー常時表示(赤字)</t>
  </si>
  <si>
    <t>ダッシュボード上部</t>
  </si>
  <si>
    <t>R-01-14</t>
  </si>
  <si>
    <t>v3.1: 強制クローズ独立プロセス</t>
  </si>
  <si>
    <t>別ファイル+Cronフェイルセーフ</t>
  </si>
  <si>
    <t>R-02-01</t>
  </si>
  <si>
    <t>日本株専門・兼業投資家</t>
  </si>
  <si>
    <t>現物・信用両方使用</t>
  </si>
  <si>
    <t>R-02-02</t>
  </si>
  <si>
    <t>デイトレ: 信用取引/値嵩株中心/プライム</t>
  </si>
  <si>
    <t>流動性・テーマ性・値動き明確さ</t>
  </si>
  <si>
    <t>R-02-03</t>
  </si>
  <si>
    <t>スイング: 現物中心/中期トレンド</t>
  </si>
  <si>
    <t>波動継続性・RR・PF補完</t>
  </si>
  <si>
    <t>R-02-04</t>
  </si>
  <si>
    <t>長期: 現物/高配当・成長株</t>
  </si>
  <si>
    <t>配当3%以上・営業利益成長3年以上</t>
  </si>
  <si>
    <t>R-02-05</t>
  </si>
  <si>
    <t>長期の増配継続は加点のみ(必須ではない)</t>
  </si>
  <si>
    <t>R-03-01</t>
  </si>
  <si>
    <t>主戦略2本柱(レーン1)</t>
  </si>
  <si>
    <t>高品質材料初動・主役テーマ連動値嵩株前場初動</t>
  </si>
  <si>
    <t>R-03-02</t>
  </si>
  <si>
    <t>高品質材料の初動</t>
  </si>
  <si>
    <t>好決算/上方修正/増配/自社株買い/進捗/資本政策/受注/提携/政策</t>
  </si>
  <si>
    <t>F021, F111</t>
  </si>
  <si>
    <t>R-03-03</t>
  </si>
  <si>
    <t>決算シーズンの母集団広・実行候補1-3固定</t>
  </si>
  <si>
    <t>通常より厳しいフィルター</t>
  </si>
  <si>
    <t>R-03-04</t>
  </si>
  <si>
    <t>主役テーマ連動の値嵩株前場初動</t>
  </si>
  <si>
    <t>決算期以外の安定頻度確保の本命</t>
  </si>
  <si>
    <t>R-03-05</t>
  </si>
  <si>
    <t>準主戦略(レーン2)</t>
  </si>
  <si>
    <t>前日強かった主役押し目再加速/セクター主役続伸初押し/前場ブレイク再試行</t>
  </si>
  <si>
    <t>R-04-01</t>
  </si>
  <si>
    <t>Mac mini常駐ランタイム前提</t>
  </si>
  <si>
    <t>デイトレとスイングは同一エージェントで扱わない</t>
  </si>
  <si>
    <t>F012, F013</t>
  </si>
  <si>
    <t>R-04-02</t>
  </si>
  <si>
    <t>朝の市況・ニュース・セクター分析・朝レポート</t>
  </si>
  <si>
    <t>R-04-03</t>
  </si>
  <si>
    <t>デイトレ候補抽出・厳選1-3銘柄・スコア</t>
  </si>
  <si>
    <t>R-04-04</t>
  </si>
  <si>
    <t>スイング候補抽出・中期トレンド</t>
  </si>
  <si>
    <t>R-04-05</t>
  </si>
  <si>
    <t>高配当・成長株・長期スコア</t>
  </si>
  <si>
    <t>R-04-06</t>
  </si>
  <si>
    <t>セクター偏り点検・バランス改善提案</t>
  </si>
  <si>
    <t>R-04-07</t>
  </si>
  <si>
    <t>エントリー/利確/損切/株数/リスク計算/注文案</t>
  </si>
  <si>
    <t>R-04-08</t>
  </si>
  <si>
    <t>価格到達監視・LINE通知</t>
  </si>
  <si>
    <t>R-04-09</t>
  </si>
  <si>
    <t>引け後レビュー・成績分析・学習データ保存</t>
  </si>
  <si>
    <t>R-04-10</t>
  </si>
  <si>
    <t>3000万円目標進捗・乖離(日週月)</t>
  </si>
  <si>
    <t>R-04-11</t>
  </si>
  <si>
    <t>評価提案書作成・自動反映禁止・承認制</t>
  </si>
  <si>
    <t>R-05-01</t>
  </si>
  <si>
    <t>準攻撃型リスク管理</t>
  </si>
  <si>
    <t>守備一辺倒ではない</t>
  </si>
  <si>
    <t>R-05-02</t>
  </si>
  <si>
    <t>デイトレ通常0.4%/強気0.5%/弱気0.25-0.3%</t>
  </si>
  <si>
    <t>主役テーマ明確日は強気</t>
  </si>
  <si>
    <t>R-05-03</t>
  </si>
  <si>
    <t>デイトレM=0 初月0.2%開始</t>
  </si>
  <si>
    <t>R-05-04</t>
  </si>
  <si>
    <t>スイング通常0.6%/強気0.8%上限</t>
  </si>
  <si>
    <t>R-05-05</t>
  </si>
  <si>
    <t>スイングM=0 初月0.3%開始</t>
  </si>
  <si>
    <t>R-05-06</t>
  </si>
  <si>
    <t>長期1銘柄最大1.2%(分割買い前提)</t>
  </si>
  <si>
    <t>R-05-07</t>
  </si>
  <si>
    <t>ロット計算式 floor(許容損失÷(ENTRY-STOP))</t>
  </si>
  <si>
    <t>100株単位丸め</t>
  </si>
  <si>
    <t>R-05-08</t>
  </si>
  <si>
    <t>日次-1.2%新規停止/-1.8%当日終了</t>
  </si>
  <si>
    <t>R-05-09</t>
  </si>
  <si>
    <t>週次-3.0%守備/-4.0%大幅制限/-5.0%原則停止</t>
  </si>
  <si>
    <t>R-05-10</t>
  </si>
  <si>
    <t>信用建玉15:10必ずクローズ・持越し禁止</t>
  </si>
  <si>
    <t>R-05-11</t>
  </si>
  <si>
    <t>15:00以降新規信用禁止/14:45以降原則禁止</t>
  </si>
  <si>
    <t>F133, F142</t>
  </si>
  <si>
    <t>R-05-12</t>
  </si>
  <si>
    <t>損切価格未設定のデイトレ禁止</t>
  </si>
  <si>
    <t>R-05-13</t>
  </si>
  <si>
    <t>買付余力超過の発注禁止</t>
  </si>
  <si>
    <t>R-05-14</t>
  </si>
  <si>
    <t>日次損失上限到達後の新規建て禁止</t>
  </si>
  <si>
    <t>R-06-01</t>
  </si>
  <si>
    <t>LINE通知 発注完成形</t>
  </si>
  <si>
    <t>見てそのまま発注できるレベル</t>
  </si>
  <si>
    <t>R-06-02</t>
  </si>
  <si>
    <t>通知4部屋分離</t>
  </si>
  <si>
    <t>エントリー/執行損益/レポート/システム警告</t>
  </si>
  <si>
    <t>R-06-03</t>
  </si>
  <si>
    <t>通知必須項目11個</t>
  </si>
  <si>
    <t>銘柄/区分/行動/価格/株数/逆指値/利確/損切/期限/無効条件/戦略</t>
  </si>
  <si>
    <t>R-06-04</t>
  </si>
  <si>
    <t>200株: 利確2段+逆指値管理</t>
  </si>
  <si>
    <t>R-06-05</t>
  </si>
  <si>
    <t>100株: 利確1回+逆指値管理</t>
  </si>
  <si>
    <t>R-06-06</t>
  </si>
  <si>
    <t>朝レポート(8:30 PDF送信)</t>
  </si>
  <si>
    <t>NotebookLM風・3行要約/世界情勢/市場/ニュース/5機会/偏り/今日やること</t>
  </si>
  <si>
    <t>R-06-07</t>
  </si>
  <si>
    <t>ニュースのトレード洞察変換</t>
  </si>
  <si>
    <t>短期/長期影響/価格レンジ/提案ポジショニング</t>
  </si>
  <si>
    <t>R-06-08</t>
  </si>
  <si>
    <t>高確率トレード機会5件特定</t>
  </si>
  <si>
    <t>ENTRY/利益目標/ストップ/想定RR/根拠</t>
  </si>
  <si>
    <t>F070, F071</t>
  </si>
  <si>
    <t>R-06-09</t>
  </si>
  <si>
    <t>売買シグナル 買い/ホールド/売り明確化</t>
  </si>
  <si>
    <t>朝レポは詳細推論、LINEは結論のみ</t>
  </si>
  <si>
    <t>F070, F062</t>
  </si>
  <si>
    <t>R-06-10</t>
  </si>
  <si>
    <t>引け後レビュー(16:00 PDF送信)</t>
  </si>
  <si>
    <t>売買履歴/実現損益/良し悪し/改善/再発防止/目標乖離/PF変化</t>
  </si>
  <si>
    <t>R-07-01</t>
  </si>
  <si>
    <t>7</t>
  </si>
  <si>
    <t>デイトレ候補 朝5件→8:40で1-3銘柄厳選</t>
  </si>
  <si>
    <t>候補不足日は0-1銘柄でも可</t>
  </si>
  <si>
    <t>F071, F111</t>
  </si>
  <si>
    <t>R-07-02</t>
  </si>
  <si>
    <t>スイング候補広め</t>
  </si>
  <si>
    <t>新規/追加/分散/見送り</t>
  </si>
  <si>
    <t>R-07-03</t>
  </si>
  <si>
    <t>長期候補別枠で広め</t>
  </si>
  <si>
    <t>R-07-04</t>
  </si>
  <si>
    <t>8:40通知に戦略コメント付与</t>
  </si>
  <si>
    <t>方針/ENTRY条件/見送り条件/利確/損切/監視理由/時間帯</t>
  </si>
  <si>
    <t>R-08-01</t>
  </si>
  <si>
    <t>8</t>
  </si>
  <si>
    <t>8:00-8:25 朝分析</t>
  </si>
  <si>
    <t>市況・ニュース・セクター・候補抽出・PF偏り確認</t>
  </si>
  <si>
    <t>F150, F110</t>
  </si>
  <si>
    <t>R-08-02</t>
  </si>
  <si>
    <t>8:25-8:30 朝レポート送信</t>
  </si>
  <si>
    <t>PDF生成・LINE送信</t>
  </si>
  <si>
    <t>F070, F150</t>
  </si>
  <si>
    <t>R-08-03</t>
  </si>
  <si>
    <t>8:30-8:40 実行候補絞り込み</t>
  </si>
  <si>
    <t>朝5候補→1-3銘柄</t>
  </si>
  <si>
    <t>F071, F150</t>
  </si>
  <si>
    <t>R-08-04</t>
  </si>
  <si>
    <t>8:40 候補通知</t>
  </si>
  <si>
    <t>戦略コメント付き</t>
  </si>
  <si>
    <t>R-08-05</t>
  </si>
  <si>
    <t>9:00-9:08 寄り付き観察</t>
  </si>
  <si>
    <t>飛びつき禁止・GU/GD・初動ノイズ警戒</t>
  </si>
  <si>
    <t>F142, F150</t>
  </si>
  <si>
    <t>R-08-06</t>
  </si>
  <si>
    <t>9:08-9:20 初動判断</t>
  </si>
  <si>
    <t>本命候補のみ監視・条件成立で通知</t>
  </si>
  <si>
    <t>F116, F150</t>
  </si>
  <si>
    <t>R-08-07</t>
  </si>
  <si>
    <t>9:20-10:30 前場メイン</t>
  </si>
  <si>
    <t>デイトレ主戦場・新規最優先</t>
  </si>
  <si>
    <t>R-08-08</t>
  </si>
  <si>
    <t>10:30-11:00 前場後半整理</t>
  </si>
  <si>
    <t>伸びない銘柄整理・後場候補仮決定</t>
  </si>
  <si>
    <t>R-08-09</t>
  </si>
  <si>
    <t>11:00-12:20 昼休み分析</t>
  </si>
  <si>
    <t>前場レビュー・後場本命再設定</t>
  </si>
  <si>
    <t>R-08-10</t>
  </si>
  <si>
    <t>12:20-12:35 後場寄り監視</t>
  </si>
  <si>
    <t>GU/GD・重要価格帯再確認</t>
  </si>
  <si>
    <t>R-08-11</t>
  </si>
  <si>
    <t>12:35-14:00 後場メイン</t>
  </si>
  <si>
    <t>既存ポジション管理優先・新規慎重</t>
  </si>
  <si>
    <t>R-08-12</t>
  </si>
  <si>
    <t>14:00-14:45 クローズ準備</t>
  </si>
  <si>
    <t>信用建玉整理優先・新規原則終了</t>
  </si>
  <si>
    <t>F150, F142</t>
  </si>
  <si>
    <t>R-08-13</t>
  </si>
  <si>
    <t>14:45-15:10 強制クローズ</t>
  </si>
  <si>
    <t>信用建玉必ず整理・未約定時は強制クローズ手順</t>
  </si>
  <si>
    <t>F133, F150</t>
  </si>
  <si>
    <t>R-08-14</t>
  </si>
  <si>
    <t>15:10-15:30 引け確認</t>
  </si>
  <si>
    <t>現物持越し判断・当日集計・翌営業日候補仮保存</t>
  </si>
  <si>
    <t>F150, F117</t>
  </si>
  <si>
    <t>R-08-15</t>
  </si>
  <si>
    <t>16:00 引け後レビュー</t>
  </si>
  <si>
    <t>F072, F150</t>
  </si>
  <si>
    <t>R-10-01</t>
  </si>
  <si>
    <t>10</t>
  </si>
  <si>
    <t>デイトレスコア100点満点</t>
  </si>
  <si>
    <t>地合い15/テーマ15/流動性20/値動き20/値嵩10/RR10/板補助10</t>
  </si>
  <si>
    <t>R-10-02</t>
  </si>
  <si>
    <t>デイトレ判定 A80+/B70-79/C60-69/見送り59-</t>
  </si>
  <si>
    <t>R-10-03</t>
  </si>
  <si>
    <t>スイングスコア100点満点</t>
  </si>
  <si>
    <t>業績20/テーマ10/トレンド15/流動性15/RR15/材料10/耐性15</t>
  </si>
  <si>
    <t>R-10-04</t>
  </si>
  <si>
    <t>長期スコア100点満点</t>
  </si>
  <si>
    <t>配当20/成長25/EPS15/財務15/優位10/割安10/増配5</t>
  </si>
  <si>
    <t>R-10-05</t>
  </si>
  <si>
    <t>初期特徴量6レイヤ構造</t>
  </si>
  <si>
    <t>材料/地合い/出来高/値動き/執行品質/時間帯</t>
  </si>
  <si>
    <t>R-11-01</t>
  </si>
  <si>
    <t>11</t>
  </si>
  <si>
    <t>再現性エンジン = 過去DB+類似検索+統計優位判定</t>
  </si>
  <si>
    <t>ブラックボックスAIにしない</t>
  </si>
  <si>
    <t>F031, F032</t>
  </si>
  <si>
    <t>R-11-02</t>
  </si>
  <si>
    <t>Pattern Store階層: LIBRARY(Active Priority Set)</t>
  </si>
  <si>
    <t>F027, F029</t>
  </si>
  <si>
    <t>R-11-03</t>
  </si>
  <si>
    <t>Pattern Store階層: CANDIDATE</t>
  </si>
  <si>
    <t>検証中パターン</t>
  </si>
  <si>
    <t>R-11-04</t>
  </si>
  <si>
    <t>Pattern Store階層: DEATH NOTE</t>
  </si>
  <si>
    <t>N回失敗即死禁止・凍結判定</t>
  </si>
  <si>
    <t>R-11-05</t>
  </si>
  <si>
    <t>Pattern Store階層: REHAB</t>
  </si>
  <si>
    <t>再検証候補保管庫</t>
  </si>
  <si>
    <t>R-11-06</t>
  </si>
  <si>
    <t>最終執行判断(再現性スコア)</t>
  </si>
  <si>
    <t>類似度+件数+勝率+期待値+レジーム+執行品質+Active Priority+リスク適合</t>
  </si>
  <si>
    <t>R-11-07</t>
  </si>
  <si>
    <t>類似件数少なすぎは参考止まり</t>
  </si>
  <si>
    <t>R-12-01</t>
  </si>
  <si>
    <t>最終目標: 全自動運用</t>
  </si>
  <si>
    <t>日本株・少数精鋭・材料重視・自動執行・自動停止</t>
  </si>
  <si>
    <t>F170, F191</t>
  </si>
  <si>
    <t>R-12-02</t>
  </si>
  <si>
    <t>自動化する範囲</t>
  </si>
  <si>
    <t>朝分析/候補/発注/逆指値/利確/強制クローズ/異常自動停止</t>
  </si>
  <si>
    <t>R-12-03</t>
  </si>
  <si>
    <t>自動化しない範囲</t>
  </si>
  <si>
    <t>長期現物新規買いフル自動/イレギュラー大量/異常時裁量</t>
  </si>
  <si>
    <t>F113, F170</t>
  </si>
  <si>
    <t>R-12-04</t>
  </si>
  <si>
    <t>Stage 0 Backtest</t>
  </si>
  <si>
    <t>R-12-05</t>
  </si>
  <si>
    <t>Stage 1 Replay Simulation</t>
  </si>
  <si>
    <t>R-12-06</t>
  </si>
  <si>
    <t>Stage 2 Paper Live</t>
  </si>
  <si>
    <t>R-12-07</t>
  </si>
  <si>
    <t>R-12-08</t>
  </si>
  <si>
    <t>Stage 4 Full Auto</t>
  </si>
  <si>
    <t>R-12-09</t>
  </si>
  <si>
    <t>Stage飛ばし禁止</t>
  </si>
  <si>
    <t>F190, F191, F193</t>
  </si>
  <si>
    <t>R-12-10</t>
  </si>
  <si>
    <t>5層防御1: signal_id冪等性</t>
  </si>
  <si>
    <t>R-12-11</t>
  </si>
  <si>
    <t>5層防御2: 発注レート物理上限(1秒2件)</t>
  </si>
  <si>
    <t>R-12-12</t>
  </si>
  <si>
    <t>5層防御3: 同一銘柄ポジション上限1.5%</t>
  </si>
  <si>
    <t>R-12-13</t>
  </si>
  <si>
    <t>5層防御4: 異常シグナル検知(ID無/100ms未満)</t>
  </si>
  <si>
    <t>R-12-14</t>
  </si>
  <si>
    <t>5層防御5: 毎朝同意+トリプルハートビート</t>
  </si>
  <si>
    <t>証券API/市場データ/ニュース3系統正常時のみ自動</t>
  </si>
  <si>
    <t>R-12-15</t>
  </si>
  <si>
    <t>Paper→Semi昇格 20営業日or50トレード</t>
  </si>
  <si>
    <t>過去データ高速リプレイで短縮可</t>
  </si>
  <si>
    <t>F045, F053, F190</t>
  </si>
  <si>
    <t>R-12-16</t>
  </si>
  <si>
    <t>Paper→Semi 主戦略期待値プラス</t>
  </si>
  <si>
    <t>勝率だけでなく平均損益含む</t>
  </si>
  <si>
    <t>R-12-17</t>
  </si>
  <si>
    <t>Paper→Semi 最大DD想定内(-5%大幅超過なし)</t>
  </si>
  <si>
    <t>R-12-18</t>
  </si>
  <si>
    <t>Paper→Semi 強制クローズ100%・緊急停止正常</t>
  </si>
  <si>
    <t>R-12-19</t>
  </si>
  <si>
    <t>収益理由だけの昇格禁止</t>
  </si>
  <si>
    <t>R-13-01</t>
  </si>
  <si>
    <t>Evaluation Agent目的</t>
  </si>
  <si>
    <t>エージェント連携の問題箇所採点・改善提案</t>
  </si>
  <si>
    <t>R-13-02</t>
  </si>
  <si>
    <t>評価対象: 候補抽出</t>
  </si>
  <si>
    <t>朝5候補妥当/1-3絞込/見送りが良かったか</t>
  </si>
  <si>
    <t>F119, F120</t>
  </si>
  <si>
    <t>R-13-03</t>
  </si>
  <si>
    <t>評価対象: 執行</t>
  </si>
  <si>
    <t>ENTRY/指値/利確早遅/損切妥当/強制クローズ</t>
  </si>
  <si>
    <t>R-13-04</t>
  </si>
  <si>
    <t>評価対象: リスク管理</t>
  </si>
  <si>
    <t>ロット/攻めすぎ/停止遅れ/テーマ集中</t>
  </si>
  <si>
    <t>R-13-05</t>
  </si>
  <si>
    <t>評価対象: システム</t>
  </si>
  <si>
    <t>監視遅延/データ欠損/発注失敗/自動停止</t>
  </si>
  <si>
    <t>R-13-06</t>
  </si>
  <si>
    <t>評価対象: エッジ別</t>
  </si>
  <si>
    <t>各エッジ成績・どのエッジが機能したか</t>
  </si>
  <si>
    <t>F119, F120, F084</t>
  </si>
  <si>
    <t>R-13-07</t>
  </si>
  <si>
    <t>評価提案書NotebookLM風・3行要約・承認制</t>
  </si>
  <si>
    <t>自動反映禁止</t>
  </si>
  <si>
    <t>R-13-08</t>
  </si>
  <si>
    <t>承認対象ルール</t>
  </si>
  <si>
    <t>スコア/候補/利確損切/ロット/停止/エッジ/ダッシュボード閾値</t>
  </si>
  <si>
    <t>F038, F087</t>
  </si>
  <si>
    <t>R-13-09</t>
  </si>
  <si>
    <t>評価時間軸 日次/週次/月次</t>
  </si>
  <si>
    <t>R-13-10</t>
  </si>
  <si>
    <t>後知恵バイアス対策</t>
  </si>
  <si>
    <t>当時利用可能な情報のみで評価</t>
  </si>
  <si>
    <t>R-13-11</t>
  </si>
  <si>
    <t>Dashboard 基本思想</t>
  </si>
  <si>
    <t>LP装飾よりトレーディングコンソール実用性</t>
  </si>
  <si>
    <t>R-13-12</t>
  </si>
  <si>
    <t>Dashboard 8カテゴリ機能</t>
  </si>
  <si>
    <t>運用状況/損益/目標/候補精度/執行品質/リスク/システム/Evaluation</t>
  </si>
  <si>
    <t>F081, F083</t>
  </si>
  <si>
    <t>R-13-13</t>
  </si>
  <si>
    <t>Dashboard 7ブロック画面構成</t>
  </si>
  <si>
    <t>A-G</t>
  </si>
  <si>
    <t>R-13-14</t>
  </si>
  <si>
    <t>Dashboard最重要KPI 6系統</t>
  </si>
  <si>
    <t>収益/エッジ/候補精度/執行品質/リスク/システム</t>
  </si>
  <si>
    <t>F083, F084, F085, F086</t>
  </si>
  <si>
    <t>R-13-15</t>
  </si>
  <si>
    <t>Dashboard時間軸ビュー(当日/週次/月次)</t>
  </si>
  <si>
    <t>R-13-16</t>
  </si>
  <si>
    <t>可視化原則</t>
  </si>
  <si>
    <t>直感/比較/異常目立ち/承認待ち明確</t>
  </si>
  <si>
    <t>R-13-17</t>
  </si>
  <si>
    <t>デザインシステム方針</t>
  </si>
  <si>
    <t>情報密度高めだが視認性優先</t>
  </si>
  <si>
    <t>R-13-18</t>
  </si>
  <si>
    <t>状態表示優先度</t>
  </si>
  <si>
    <t>危険/停止 &gt; 異常 &gt; 承認待ち &gt; 稼働 &gt; 参考</t>
  </si>
  <si>
    <t>R-13-19</t>
  </si>
  <si>
    <t>初期実装範囲</t>
  </si>
  <si>
    <t>10KPI以内</t>
  </si>
  <si>
    <t>R-14-01</t>
  </si>
  <si>
    <t>データソース優先度1位(正本): 楽天証券</t>
  </si>
  <si>
    <t>余力/建玉/注文/約定/現在値</t>
  </si>
  <si>
    <t>R-14-02</t>
  </si>
  <si>
    <t>優先度2位: 市場データAPI</t>
  </si>
  <si>
    <t>日経225/TOPIX/為替/原油</t>
  </si>
  <si>
    <t>R-14-03</t>
  </si>
  <si>
    <t>優先度3位: TradingView(MCP)</t>
  </si>
  <si>
    <t>チャート/ライン/テクニカル確認</t>
  </si>
  <si>
    <t>R-14-04</t>
  </si>
  <si>
    <t>優先度4位: TDnet/IR API</t>
  </si>
  <si>
    <t>適時開示/決算短信</t>
  </si>
  <si>
    <t>R-14-05</t>
  </si>
  <si>
    <t>優先度5位: ニュースAPI</t>
  </si>
  <si>
    <t>市況/個別材料</t>
  </si>
  <si>
    <t>R-14-06</t>
  </si>
  <si>
    <t>縮退モード: 正本死亡で新規停止</t>
  </si>
  <si>
    <t>R-15-01</t>
  </si>
  <si>
    <t>README.md/CLAUDE.md初稿作成</t>
  </si>
  <si>
    <t>R-15-02</t>
  </si>
  <si>
    <t>Pattern Store/Feature Store/Runtime/Simulation骨組み最優先</t>
  </si>
  <si>
    <t>F020, F027, F012, F040</t>
  </si>
  <si>
    <t>R-15-03</t>
  </si>
  <si>
    <t>Paper Live環境+LINE通知基盤</t>
  </si>
  <si>
    <t>F050, F060</t>
  </si>
  <si>
    <t>R-15-04</t>
  </si>
  <si>
    <t>実弾執行基盤は後回し</t>
  </si>
  <si>
    <t>R-15-05</t>
  </si>
  <si>
    <t>エージェントプロンプトファイル整備</t>
  </si>
  <si>
    <t>F110, F111, F112, F113, F114, F115, F116, F117, F118, F119, F035</t>
  </si>
  <si>
    <t>R-15-06</t>
  </si>
  <si>
    <t>崩してはならない前提8点</t>
  </si>
  <si>
    <t>再現性/階層管理/Stage飛ばし禁止/Eval提案のみ/Mac常駐/炎テーマ/デイトレ主軸/完全放置しない</t>
  </si>
  <si>
    <t>R-16-01</t>
  </si>
  <si>
    <t>ディスプレイ・コンピュータスリープしない</t>
  </si>
  <si>
    <t>場中停止防止</t>
  </si>
  <si>
    <t>R-16-02</t>
  </si>
  <si>
    <t>停電後自動再起動</t>
  </si>
  <si>
    <t>R-16-03</t>
  </si>
  <si>
    <t>自動ログイン設定(任意)</t>
  </si>
  <si>
    <t>R-16-04</t>
  </si>
  <si>
    <t>ファイアウォール・画面共有</t>
  </si>
  <si>
    <t>R-16-05</t>
  </si>
  <si>
    <t>Homebrew/Python3.12/Node/Gitインストール</t>
  </si>
  <si>
    <t>R-16-06</t>
  </si>
  <si>
    <t>FIREリポジトリclone</t>
  </si>
  <si>
    <t>R-16-07</t>
  </si>
  <si>
    <t>環境変数設定</t>
  </si>
  <si>
    <t>RAKUTEN/LINE/NEWS/TDNET</t>
  </si>
  <si>
    <t>R-16-08</t>
  </si>
  <si>
    <t>launchd com.fire.runtime.plist</t>
  </si>
  <si>
    <t>R-16-09</t>
  </si>
  <si>
    <t>SSH/Tailscaleリモートアクセス</t>
  </si>
  <si>
    <t>R-16-10</t>
  </si>
  <si>
    <t>セットアップ完了後動作確認チェックリスト</t>
  </si>
  <si>
    <t>F003, F013</t>
  </si>
  <si>
    <t>R-17-01</t>
  </si>
  <si>
    <t>成行乱用禁止・指値標準</t>
  </si>
  <si>
    <t>例外条件明文化</t>
  </si>
  <si>
    <t>R-17-02</t>
  </si>
  <si>
    <t>9:00-9:05 寄り直後制限(観察優先)</t>
  </si>
  <si>
    <t>R-17-03</t>
  </si>
  <si>
    <t>特買い・特売り中は新規禁止</t>
  </si>
  <si>
    <t>R-17-04</t>
  </si>
  <si>
    <t>価格乖離上限(+0.3%/値嵩+20円)</t>
  </si>
  <si>
    <t>R-17-05</t>
  </si>
  <si>
    <t>部分約定前提の逆指値セット</t>
  </si>
  <si>
    <t>一定時間で未約定分取消</t>
  </si>
  <si>
    <t>R-17-06</t>
  </si>
  <si>
    <t>強制クローズ15:00-15:05整理/15:08強制モード</t>
  </si>
  <si>
    <t>15:10は完了期限</t>
  </si>
  <si>
    <t>R-17-07</t>
  </si>
  <si>
    <t>Execution Quality Gate</t>
  </si>
  <si>
    <t>板厚/スプレッド/出来高/部分約定/値飛び/値嵩滑り</t>
  </si>
  <si>
    <t>R-17-08</t>
  </si>
  <si>
    <t>執行ルール: ENTRY指値/利確指値/損切逆指値必須</t>
  </si>
  <si>
    <t>R-17-09</t>
  </si>
  <si>
    <t>執行品質3段階監視(注意/警戒/停止)</t>
  </si>
  <si>
    <t>2.0/2.5/3.0倍超</t>
  </si>
  <si>
    <t>R-17-10</t>
  </si>
  <si>
    <t>30日後は実測スリッページ中央値ベース</t>
  </si>
  <si>
    <t>R-17-11</t>
  </si>
  <si>
    <t>Dashboard執行品質可視化</t>
  </si>
  <si>
    <t>想定vs実/乖離/部分約定/未約定/スリッページ/強制クローズ/スコア</t>
  </si>
  <si>
    <t>R-18-01</t>
  </si>
  <si>
    <t>18</t>
  </si>
  <si>
    <t>主戦略は純スキャルピングではない</t>
  </si>
  <si>
    <t>材料初動・前場初動型</t>
  </si>
  <si>
    <t>R-18-02</t>
  </si>
  <si>
    <t>第1層A: 高品質材料の初動</t>
  </si>
  <si>
    <t>好決算/上方修正/増配/自社株買い/通期見通し/サプライズ</t>
  </si>
  <si>
    <t>F200, F111</t>
  </si>
  <si>
    <t>R-18-03</t>
  </si>
  <si>
    <t>第1層B: 主役テーマ連動値嵩株前場初動</t>
  </si>
  <si>
    <t>当日主役テーマ・指数寄与・資金流入</t>
  </si>
  <si>
    <t>R-18-04</t>
  </si>
  <si>
    <t>純スキャル除外理由5点</t>
  </si>
  <si>
    <t>執行歪み/値嵩/楽天環境/スキャル依存/監視選別停止強み</t>
  </si>
  <si>
    <t>R-18-05</t>
  </si>
  <si>
    <t>準スキャル(第2層)paper検証先行</t>
  </si>
  <si>
    <t>別成績管理</t>
  </si>
  <si>
    <t>R-18-06</t>
  </si>
  <si>
    <t>純スキャル(第3層)初期採用しない</t>
  </si>
  <si>
    <t>研究対象保持</t>
  </si>
  <si>
    <t>R-18-07</t>
  </si>
  <si>
    <t>時間軸優先順位</t>
  </si>
  <si>
    <t>前場材料/前場テーマ/前場初押し再加速</t>
  </si>
  <si>
    <t>R-18-08</t>
  </si>
  <si>
    <t>Dashboardで時間軸別成績表示</t>
  </si>
  <si>
    <t>材料初動/主役テーマ/準スキャル/スイング/長期</t>
  </si>
  <si>
    <t>R-19-01</t>
  </si>
  <si>
    <t>本番移行前にSimulation/Paper Live必須</t>
  </si>
  <si>
    <t>F040, F050</t>
  </si>
  <si>
    <t>R-19-02</t>
  </si>
  <si>
    <t>5段階検証モード Stage0-4 順序厳守</t>
  </si>
  <si>
    <t>F040, F041, F050, F170, F190, F191</t>
  </si>
  <si>
    <t>R-19-03</t>
  </si>
  <si>
    <t>Paper Live役割</t>
  </si>
  <si>
    <t>朝レポ/候補/厳選/監視/仮想ENTRY/利確/損切/強制クローズ/LINE</t>
  </si>
  <si>
    <t>F050, F051, F052</t>
  </si>
  <si>
    <t>R-19-04</t>
  </si>
  <si>
    <t>仮想執行対象</t>
  </si>
  <si>
    <t>新規/利確/損切/強制クローズ/取消/失効/建玉/余力</t>
  </si>
  <si>
    <t>R-19-05</t>
  </si>
  <si>
    <t>3段階約定モデル(理想/現実寄り/厳しめ)</t>
  </si>
  <si>
    <t>F042, F043, F044</t>
  </si>
  <si>
    <t>R-19-06</t>
  </si>
  <si>
    <t>Simulation Accuracy指標</t>
  </si>
  <si>
    <t>仮想vs現実 価格/利確/損切/約定率/強制クローズ成功率</t>
  </si>
  <si>
    <t>R-19-07</t>
  </si>
  <si>
    <t>Simulation Confidence/Optimistic Bias/Realistic Fill Score</t>
  </si>
  <si>
    <t>R-19-08</t>
  </si>
  <si>
    <t>本番移行前必須条件 6項目</t>
  </si>
  <si>
    <t>サンプル/期待値/停止/クローズ/Sim精度</t>
  </si>
  <si>
    <t>R-19-09</t>
  </si>
  <si>
    <t>Dashboard本番成績と仮想成績区別表示</t>
  </si>
  <si>
    <t>R-19-10</t>
  </si>
  <si>
    <t>Evaluation AgentのSimulation評価</t>
  </si>
  <si>
    <t>約定モデル厳格化/利確損切修正/ゲート強化/移行延期</t>
  </si>
  <si>
    <t>R-20-01</t>
  </si>
  <si>
    <t>20</t>
  </si>
  <si>
    <t>情報優位 5情報源統合</t>
  </si>
  <si>
    <t>TradingView/楽天/TDnet/ニュース/LINE</t>
  </si>
  <si>
    <t>F100, F101, F102, F103, F104, F060</t>
  </si>
  <si>
    <t>R-20-02</t>
  </si>
  <si>
    <t>監視優位 漏れない監視対象</t>
  </si>
  <si>
    <t>材料/テーマ資金/値嵩前場初動/価格到達/時間切れ/異常</t>
  </si>
  <si>
    <t>R-20-03</t>
  </si>
  <si>
    <t>執行優位 固定ルール</t>
  </si>
  <si>
    <t>候補絞/損切固定/逆指値必須/14:45停止/15:10閉じる/地合い悪自動停止</t>
  </si>
  <si>
    <t>F141, F142, F132, F133</t>
  </si>
  <si>
    <t>R-20-04</t>
  </si>
  <si>
    <t>停止優位 止まれる</t>
  </si>
  <si>
    <t>日次週次損失/接続/データ/重複/板/クローズ失敗</t>
  </si>
  <si>
    <t>F132, F133, F106, F160, F161, F162, F163</t>
  </si>
  <si>
    <t>R-20-05</t>
  </si>
  <si>
    <t>エッジにしないもの</t>
  </si>
  <si>
    <t>コピトレ/SNS煽り/純スキャル/純裁定/未来予測依存</t>
  </si>
  <si>
    <t>R-20-06</t>
  </si>
  <si>
    <t>勝てそうと言える条件チェックリスト7点</t>
  </si>
  <si>
    <t>主戦略/情報源/役割分担/執行/やらない/検証モード</t>
  </si>
  <si>
    <t>R-21-01</t>
  </si>
  <si>
    <t>三層構造: 過去→現在→運用中生死監視</t>
  </si>
  <si>
    <t>F031, F035</t>
  </si>
  <si>
    <t>R-21-02</t>
  </si>
  <si>
    <t>Pattern Research Agent役割</t>
  </si>
  <si>
    <t>発見/定義/更新提案/研究エージェント</t>
  </si>
  <si>
    <t>R-21-03</t>
  </si>
  <si>
    <t>過去パターン研究対象</t>
  </si>
  <si>
    <t>チャート/出来高/売買代金/テクニカル/ファンダ/決算/ニュース/開示/地合い/セクター/執行</t>
  </si>
  <si>
    <t>F040, F020</t>
  </si>
  <si>
    <t>R-21-04</t>
  </si>
  <si>
    <t>リアルタイムパターン研究</t>
  </si>
  <si>
    <t>既存有効性/新芽/劣化/レジーム変化</t>
  </si>
  <si>
    <t>R-21-05</t>
  </si>
  <si>
    <t>Pattern Library保存項目</t>
  </si>
  <si>
    <t>pattern_id/name/definition/属性/材料/条件/統計/履歴/ステータス</t>
  </si>
  <si>
    <t>F027, F030</t>
  </si>
  <si>
    <t>R-21-06</t>
  </si>
  <si>
    <t>DEATH NOTE段階判定</t>
  </si>
  <si>
    <t>Step1(5回4敗)/Step2(10回勝率30%)/Step3(20回期待値マイナス)</t>
  </si>
  <si>
    <t>R-21-07</t>
  </si>
  <si>
    <t>DEATH NOTEユーザー承認</t>
  </si>
  <si>
    <t>R-21-08</t>
  </si>
  <si>
    <t>REHAB Queue</t>
  </si>
  <si>
    <t>決算期限定/強地合/セクター限定/執行改善後再挑戦</t>
  </si>
  <si>
    <t>R-21-09</t>
  </si>
  <si>
    <t>REHAB自動復帰禁止・承認制</t>
  </si>
  <si>
    <t>R-21-10</t>
  </si>
  <si>
    <t>実行エージェントのPattern Store参照</t>
  </si>
  <si>
    <t>Daytrade/Trade Decision/Evaluation</t>
  </si>
  <si>
    <t>F111, F115, F119</t>
  </si>
  <si>
    <t>R-21-11</t>
  </si>
  <si>
    <t>Feature Store</t>
  </si>
  <si>
    <t>過去・現在特徴量保存</t>
  </si>
  <si>
    <t>R-21-12</t>
  </si>
  <si>
    <t>Live Research Log</t>
  </si>
  <si>
    <t>リアルタイム観測結果</t>
  </si>
  <si>
    <t>R-21-13</t>
  </si>
  <si>
    <t>採用・承認フロー</t>
  </si>
  <si>
    <t>候補→Paper→Sim→Eval→ユーザー承認→Library</t>
  </si>
  <si>
    <t>R-21-14</t>
  </si>
  <si>
    <t>段階的実装4 Phase</t>
  </si>
  <si>
    <t>データ基盤/Pattern Research Agent/リアルタイム照合/劣化監査</t>
  </si>
  <si>
    <t>F020, F035, F036, F119</t>
  </si>
  <si>
    <t>R-22-01</t>
  </si>
  <si>
    <t>5系統依存 楽天/市場/材料/テクニカル/通知監督</t>
  </si>
  <si>
    <t>R-22-02</t>
  </si>
  <si>
    <t>データソース役割分担 優先度1-5</t>
  </si>
  <si>
    <t>F100, F101, F102, F103, F104</t>
  </si>
  <si>
    <t>R-22-03</t>
  </si>
  <si>
    <t>危険1対策: 価格生存で楽天死亡</t>
  </si>
  <si>
    <t>新規停止/建玉確認/MCP画面切替/通知/notification only</t>
  </si>
  <si>
    <t>R-22-04</t>
  </si>
  <si>
    <t>危険2対策: 楽天生存で市場データ死亡</t>
  </si>
  <si>
    <t>TV補完/不安定なら新規停止/楽天画面損切監視/縮小クローズ</t>
  </si>
  <si>
    <t>R-22-05</t>
  </si>
  <si>
    <t>危険3対策: ニュース/開示死亡</t>
  </si>
  <si>
    <t>材料起因基準厳格化/Libraryとテクニカルで絞って候補/保守モード</t>
  </si>
  <si>
    <t>R-22-06</t>
  </si>
  <si>
    <t>危険4対策: TradingView死亡</t>
  </si>
  <si>
    <t>自前テクニカル/楽天画面/市場データで代替</t>
  </si>
  <si>
    <t>R-22-07</t>
  </si>
  <si>
    <t>危険5対策: LINE死亡</t>
  </si>
  <si>
    <t>ログ蓄積/ローカルアラート/Semi停止/Full警告判定</t>
  </si>
  <si>
    <t>R-22-08</t>
  </si>
  <si>
    <t>5段階縮退モード</t>
  </si>
  <si>
    <t>通常/限定/通知専用/保有管理/緊急停止</t>
  </si>
  <si>
    <t>R-22-09</t>
  </si>
  <si>
    <t>5設計原則</t>
  </si>
  <si>
    <t>正本固定/複線化/材料守備化/通知モード依存/止まる成功</t>
  </si>
  <si>
    <t>R-22-10</t>
  </si>
  <si>
    <t>データソース健全性指標</t>
  </si>
  <si>
    <t>可用率/遅延/モード遷移</t>
  </si>
  <si>
    <t>R-23-01</t>
  </si>
  <si>
    <t>常駐基盤をUIで制御</t>
  </si>
  <si>
    <t>LP手動起動型ではない</t>
  </si>
  <si>
    <t>F012, F080</t>
  </si>
  <si>
    <t>R-23-02</t>
  </si>
  <si>
    <t>FIRE Runner/Monitor/Execution Engine/Pattern Research Loop/Notification Worker</t>
  </si>
  <si>
    <t>R-23-03</t>
  </si>
  <si>
    <t>OpenClaw不採用 専用ランナー</t>
  </si>
  <si>
    <t>日本株・楽天・Pattern Store・Eval・Dashboard専用設計</t>
  </si>
  <si>
    <t>R-23-04</t>
  </si>
  <si>
    <t>Mac mini必要性 4理由</t>
  </si>
  <si>
    <t>PC占有しない/常時起動/Dashboard母艦/安定性</t>
  </si>
  <si>
    <t>R-23-05</t>
  </si>
  <si>
    <t>稼働スケジュール推奨</t>
  </si>
  <si>
    <t>6:30起動/8:00朝分析/8:30朝レポ/8:40候補/9-15:30監視実行/15:30-16:30レビュー/夜研究</t>
  </si>
  <si>
    <t>R-23-06</t>
  </si>
  <si>
    <t>Stageごと常駐要件</t>
  </si>
  <si>
    <t>Stage0-1不要/Stage2-3取引中/Stage4取引+夜バッチ</t>
  </si>
  <si>
    <t>R-24-01</t>
  </si>
  <si>
    <t>24</t>
  </si>
  <si>
    <t>FIRE v1本番主軸: デイトレ自動化のみ</t>
  </si>
  <si>
    <t>主戦略2本</t>
  </si>
  <si>
    <t>R-24-02</t>
  </si>
  <si>
    <t>スイング自動執行は後回し</t>
  </si>
  <si>
    <t>候補提案まで</t>
  </si>
  <si>
    <t>R-24-03</t>
  </si>
  <si>
    <t>長期自動売買は後回し</t>
  </si>
  <si>
    <t>通知・候補提案のみ</t>
  </si>
  <si>
    <t>R-24-04</t>
  </si>
  <si>
    <t>監視階層3段階</t>
  </si>
  <si>
    <t>Tier1実行1-3/Tier2研究5/Tier3参考</t>
  </si>
  <si>
    <t>R-24-05</t>
  </si>
  <si>
    <t>エージェント優先順位</t>
  </si>
  <si>
    <t>本番コア/準コア/補助</t>
  </si>
  <si>
    <t>F110, F111, F115, F116, F119, F035, F112, F113, F114</t>
  </si>
  <si>
    <t>R-24-06</t>
  </si>
  <si>
    <t>パターン数上限</t>
  </si>
  <si>
    <t>Primary 2-4/Candidate 5-10</t>
  </si>
  <si>
    <t>R-24-07</t>
  </si>
  <si>
    <t>毎日vs週次バッチ区分</t>
  </si>
  <si>
    <t>F150, F035</t>
  </si>
  <si>
    <t>R-24-08</t>
  </si>
  <si>
    <t>Dashboard主役可視化</t>
  </si>
  <si>
    <t>Current Primary/Secondary/Disabled Edge/Active Patterns</t>
  </si>
  <si>
    <t>R-25-01</t>
  </si>
  <si>
    <t>期待値×頻度で最適化</t>
  </si>
  <si>
    <t>毎日必ず打つではない</t>
  </si>
  <si>
    <t>R-25-02</t>
  </si>
  <si>
    <t>3レーン構造</t>
  </si>
  <si>
    <t>Primary/Secondary/Research</t>
  </si>
  <si>
    <t>R-25-03</t>
  </si>
  <si>
    <t>運用ルール</t>
  </si>
  <si>
    <t>本命日→Primary/不在日→Secondary/基準未満→ノートレ</t>
  </si>
  <si>
    <t>R-25-04</t>
  </si>
  <si>
    <t>頻度目標 0-3件/日 5-10件/週</t>
  </si>
  <si>
    <t>R-25-05</t>
  </si>
  <si>
    <t>頻度不足検知</t>
  </si>
  <si>
    <t>2週連続極端少でフィルター点検</t>
  </si>
  <si>
    <t>F201, F119</t>
  </si>
  <si>
    <t>R-25-06</t>
  </si>
  <si>
    <t>Dashboard頻度関連指標</t>
  </si>
  <si>
    <t>日次/週次件数/主・準件数/ノートレ/候補不足/除外率</t>
  </si>
  <si>
    <t>F083, F084</t>
  </si>
  <si>
    <t>R-25-07</t>
  </si>
  <si>
    <t>母集団広/実行1-3固定/フィルター厳格/優先除外条件</t>
  </si>
  <si>
    <t>R-26-01</t>
  </si>
  <si>
    <t>26</t>
  </si>
  <si>
    <t>中核エッジ: 再現性・蓄積・類似照合・勝率期待値</t>
  </si>
  <si>
    <t>R-26-02</t>
  </si>
  <si>
    <t>AI文章/ブラックボックス/初動概念/決算イベント単独/SNS/コピトレ/板微差</t>
  </si>
  <si>
    <t>R-26-03</t>
  </si>
  <si>
    <t>エッジ5要素</t>
  </si>
  <si>
    <t>再現性/蓄積/類似照合/勝率期待値/執行品質</t>
  </si>
  <si>
    <t>F031, F032, F140</t>
  </si>
  <si>
    <t>R-26-04</t>
  </si>
  <si>
    <t>再現性定義</t>
  </si>
  <si>
    <t>類似過去局面・一定件数・一定期待値</t>
  </si>
  <si>
    <t>R-26-05</t>
  </si>
  <si>
    <t>パターン別勝率期待値管理</t>
  </si>
  <si>
    <t>類似件数/勝率/平均利益損失/RR/期待値/最大逆行/保有時間/レジーム別/直近/執行品質</t>
  </si>
  <si>
    <t>F032, F183</t>
  </si>
  <si>
    <t>R-26-06</t>
  </si>
  <si>
    <t>再現性スコア構成要素</t>
  </si>
  <si>
    <t>類似度+件数+勝率+RR+期待値+レジーム+直近有効+執行品質+リスク適合</t>
  </si>
  <si>
    <t>R-26-07</t>
  </si>
  <si>
    <t>初動・決算・テーマの位置づけ</t>
  </si>
  <si>
    <t>局面候補だが単独では決めつけない</t>
  </si>
  <si>
    <t>R-26-08</t>
  </si>
  <si>
    <t>AIの役割・やらせすぎない</t>
  </si>
  <si>
    <t>特徴量/類似検索/要約/改善提案/劣化検知</t>
  </si>
  <si>
    <t>F035, F119</t>
  </si>
  <si>
    <t>R-26-09</t>
  </si>
  <si>
    <t>ユーザー説明責任</t>
  </si>
  <si>
    <t>類似パターン名/件数/勝率/RR/失敗条件/一致点/注意点</t>
  </si>
  <si>
    <t>F115, F119</t>
  </si>
  <si>
    <t>R-27-01</t>
  </si>
  <si>
    <t>目標未達を理由にした規律崩壊防止</t>
  </si>
  <si>
    <t>R-27-02</t>
  </si>
  <si>
    <t>固定原則4点</t>
  </si>
  <si>
    <t>目標監視/自動攻撃化禁止/条件揃時のみ引上げ/精度→頻度→リスク順</t>
  </si>
  <si>
    <t>R-27-03</t>
  </si>
  <si>
    <t>禁止事項4点</t>
  </si>
  <si>
    <t>乖離でロット増/基準下げ/準主戦略化/停止緩和</t>
  </si>
  <si>
    <t>R-27-04</t>
  </si>
  <si>
    <t>リスク量変更正しい条件</t>
  </si>
  <si>
    <t>Pattern Score/Regime Fit/Execution/Recent/System Health</t>
  </si>
  <si>
    <t>R-27-05</t>
  </si>
  <si>
    <t>目標未達時Eval提案方向性</t>
  </si>
  <si>
    <t>頻度不足/再現性低下/抽出狭/約定品質/ロットではなく精度</t>
  </si>
  <si>
    <t>R-27-06</t>
  </si>
  <si>
    <t>攻める日/守る日 市場条件で決定</t>
  </si>
  <si>
    <t>目標乖離ではない</t>
  </si>
  <si>
    <t>R-27-07</t>
  </si>
  <si>
    <t>Dashboard進捗系と運用状態系並列表示</t>
  </si>
  <si>
    <t>攻めすぎ防止</t>
  </si>
  <si>
    <t>R-28-01</t>
  </si>
  <si>
    <t>全自動化と無監督化の分離</t>
  </si>
  <si>
    <t>R-28-02</t>
  </si>
  <si>
    <t>理想運用形態: 監督者付き</t>
  </si>
  <si>
    <t>通常自動/異常通知/定期監督/重要変更承認/停止権限</t>
  </si>
  <si>
    <t>R-28-03</t>
  </si>
  <si>
    <t>運用レベル5段階</t>
  </si>
  <si>
    <t>通知支援/仮想自律/半自動/自律運用/完全無監督(目指さない)</t>
  </si>
  <si>
    <t>R-28-04</t>
  </si>
  <si>
    <t>人間監督頻度</t>
  </si>
  <si>
    <t>日次朝引/場中通知時/週次/月次</t>
  </si>
  <si>
    <t>F173, F232</t>
  </si>
  <si>
    <t>R-28-05</t>
  </si>
  <si>
    <t>必ず関与するもの</t>
  </si>
  <si>
    <t>モード変更/Full Auto移行/Pattern採用凍結DN/Eval採用/緊急停止解除/リスク変更</t>
  </si>
  <si>
    <t>F038, F170, F191</t>
  </si>
  <si>
    <t>R-28-06</t>
  </si>
  <si>
    <t>通常関与しないもの</t>
  </si>
  <si>
    <t>条件監視/Paper/仮想売買/自動通知/通常執行/利確損切/強制クローズ</t>
  </si>
  <si>
    <t>F050, F116, F133</t>
  </si>
  <si>
    <t>R-28-07</t>
  </si>
  <si>
    <t>LINE/Dashboard役割分担</t>
  </si>
  <si>
    <t>LINE即時監督/Dashboard運用監督</t>
  </si>
  <si>
    <t>F060, F064, F080</t>
  </si>
  <si>
    <t>R-28-08</t>
  </si>
  <si>
    <t>完全放置防止4ルール</t>
  </si>
  <si>
    <t>Heartbeat/重要変更承認/異常復帰手動/長期ノータッチ防止</t>
  </si>
  <si>
    <t>R-28-09</t>
  </si>
  <si>
    <t>穴1-6総括</t>
  </si>
  <si>
    <t>F031, F140, F106, F200, F211, F173</t>
  </si>
  <si>
    <t>R-29-01</t>
  </si>
  <si>
    <t>主ラベル4分類 Success/Failure/Timeout/Invalid</t>
  </si>
  <si>
    <t>R-29-02</t>
  </si>
  <si>
    <t>Success定義</t>
  </si>
  <si>
    <t>target_holding_window内 損切より先に利確1到達</t>
  </si>
  <si>
    <t>F180, F181</t>
  </si>
  <si>
    <t>R-29-03</t>
  </si>
  <si>
    <t>Failure定義</t>
  </si>
  <si>
    <t>損切に先に到達</t>
  </si>
  <si>
    <t>R-29-04</t>
  </si>
  <si>
    <t>Timeout定義</t>
  </si>
  <si>
    <t>利確1にも損切にも届かず期限切れ</t>
  </si>
  <si>
    <t>R-29-05</t>
  </si>
  <si>
    <t>Invalid定義</t>
  </si>
  <si>
    <t>ENTRY条件成立前に無効条件該当またはENTRY未成立</t>
  </si>
  <si>
    <t>R-29-06</t>
  </si>
  <si>
    <t>前場引けでプラス成功禁止理由</t>
  </si>
  <si>
    <t>利確損切設計見えない・Paper Real比較ぶれる</t>
  </si>
  <si>
    <t>R-29-07</t>
  </si>
  <si>
    <t>target_holding_window パターン別</t>
  </si>
  <si>
    <t>材料初動10-30/主役15-45/準スキャル3-10</t>
  </si>
  <si>
    <t>R-29-08</t>
  </si>
  <si>
    <t>ラベル判定式</t>
  </si>
  <si>
    <t>first_hit/within_window/expiry判定</t>
  </si>
  <si>
    <t>R-29-09</t>
  </si>
  <si>
    <t>補助メトリクス必ず保存</t>
  </si>
  <si>
    <t>mfe/mae/time_to_*/pnl_at_*/fill_quality</t>
  </si>
  <si>
    <t>R-29-10</t>
  </si>
  <si>
    <t>Pattern Library採用最重要指標9個</t>
  </si>
  <si>
    <t>success_rate/failure/timeout/expectancy/RR/mae/mfe/regime/fill_adjusted</t>
  </si>
  <si>
    <t>R-29-11</t>
  </si>
  <si>
    <t>注意点3つ</t>
  </si>
  <si>
    <t>Timeout≠Failure/利確2主ラベルにしない/Invalid≠失敗</t>
  </si>
  <si>
    <t>R-30-01</t>
  </si>
  <si>
    <t>30</t>
  </si>
  <si>
    <t>初期特徴量6系統</t>
  </si>
  <si>
    <t>材料/地合い/出来高/値動き/時間帯/執行品質</t>
  </si>
  <si>
    <t>F021, F022, F023, F024, F025, F026</t>
  </si>
  <si>
    <t>R-30-02</t>
  </si>
  <si>
    <t>細かいテクニカル・ファンダ詳細は後から追加</t>
  </si>
  <si>
    <t>類似局面見つかる粒度優先</t>
  </si>
  <si>
    <t>R-31-01</t>
  </si>
  <si>
    <t>31</t>
  </si>
  <si>
    <t>パターン命名規則</t>
  </si>
  <si>
    <t>[material]_[time]_[regime]_[version]</t>
  </si>
  <si>
    <t>R-31-02</t>
  </si>
  <si>
    <t>類似パターン統合ルール</t>
  </si>
  <si>
    <t>特徴量重複度閾値以上で統合候補</t>
  </si>
  <si>
    <t>R-31-03</t>
  </si>
  <si>
    <t>pattern_id一意管理</t>
  </si>
  <si>
    <t>変更・廃止追跡</t>
  </si>
  <si>
    <t>R-31-04</t>
  </si>
  <si>
    <t>バージョン管理</t>
  </si>
  <si>
    <t>条件変更時にバージョンUP・旧成績保持</t>
  </si>
  <si>
    <t>R-31-05</t>
  </si>
  <si>
    <t>廃止履歴</t>
  </si>
  <si>
    <t>DN送付時に理由・日付・当時成績保存</t>
  </si>
  <si>
    <t>R-31-06</t>
  </si>
  <si>
    <t>パターン数上限 Primary2-4/Candidate5-10</t>
  </si>
  <si>
    <t>R-32-01</t>
  </si>
  <si>
    <t>Paper→Semi昇格条件完全版</t>
  </si>
  <si>
    <t>サンプル/期待値/DD/Bias/強制クローズ100%/停止/Eval確認</t>
  </si>
  <si>
    <t>R-32-02</t>
  </si>
  <si>
    <t>Semi→Full昇格条件</t>
  </si>
  <si>
    <t>20営業日or50実注/実約定期待値/slippage/クローズ100%/稼働率/承認</t>
  </si>
  <si>
    <t>R-32-03</t>
  </si>
  <si>
    <t>昇格原則</t>
  </si>
  <si>
    <t>Stage飛ばし禁止/ユーザー承認/降格即時</t>
  </si>
  <si>
    <t>R-33-01</t>
  </si>
  <si>
    <t>運用負荷上限目安</t>
  </si>
  <si>
    <t>朝10分+引け10分/場中0/承認1日3件/週30分/月1時間</t>
  </si>
  <si>
    <t>F063, F172</t>
  </si>
  <si>
    <t>R-33-02</t>
  </si>
  <si>
    <t>通知4階層</t>
  </si>
  <si>
    <t>緊急/重要/情報(朝夕集約)/参考(Dashboard)</t>
  </si>
  <si>
    <t>R-33-03</t>
  </si>
  <si>
    <t>承認最小化</t>
  </si>
  <si>
    <t>Full Auto移行/Pattern/Eval提案/リスク大変更/緊急停止解除のみ</t>
  </si>
  <si>
    <t>F170, F087</t>
  </si>
  <si>
    <t>R-33-04</t>
  </si>
  <si>
    <t>Dashboard初期KPI10項目以内</t>
  </si>
  <si>
    <t>R-34-01</t>
  </si>
  <si>
    <t>昇格4同時要件</t>
  </si>
  <si>
    <t>戦略/執行品質/停止/Sim現実性</t>
  </si>
  <si>
    <t>F190, F191</t>
  </si>
  <si>
    <t>R-34-02</t>
  </si>
  <si>
    <t>昇格KPI 5系統</t>
  </si>
  <si>
    <t>収益/リスク/執行/システム/現実性</t>
  </si>
  <si>
    <t>F046, F047, F183</t>
  </si>
  <si>
    <t>R-34-03</t>
  </si>
  <si>
    <t>昇格禁止条件8点</t>
  </si>
  <si>
    <t>期待値マイナス/DD過大/Bias高/クローズ失敗/停止動作不良/主戦略少/執行悪/監督負荷</t>
  </si>
  <si>
    <t>R-34-04</t>
  </si>
  <si>
    <t>推奨初期しきい値 Paper→Semi</t>
  </si>
  <si>
    <t>20営業日or50/expectancy&gt;0/-5%/Bias/クローズ100%/停止テストパス</t>
  </si>
  <si>
    <t>R-34-05</t>
  </si>
  <si>
    <t>推奨初期しきい値 Semi→Full</t>
  </si>
  <si>
    <t>20営業日or50実注/実expectancy/slippage/クローズ100%/稼働率/Eval</t>
  </si>
  <si>
    <t>R-34-06</t>
  </si>
  <si>
    <t>成績/エッジ別/執行品質/システム品質/停止/Bias/懸念/判定</t>
  </si>
  <si>
    <t>R-35-01</t>
  </si>
  <si>
    <t>35</t>
  </si>
  <si>
    <t>24時間稼働の正しい理解</t>
  </si>
  <si>
    <t>時間帯で必要処理起動</t>
  </si>
  <si>
    <t>F012, F150</t>
  </si>
  <si>
    <t>R-35-02</t>
  </si>
  <si>
    <t>常駐コンポーネント6種</t>
  </si>
  <si>
    <t>スケジューラ/市場監視/Sim/Paper/Pattern Research/Notification/Dashboard Backend</t>
  </si>
  <si>
    <t>F012, F090, F110, F111, F115, F116, F035</t>
  </si>
  <si>
    <t>R-35-03</t>
  </si>
  <si>
    <t>シミュレーション種別別稼働タイミング</t>
  </si>
  <si>
    <t>Backtest夜間/Replay必要時/Paper取引時間中</t>
  </si>
  <si>
    <t>F040, F041, F050</t>
  </si>
  <si>
    <t>R-35-04</t>
  </si>
  <si>
    <t>時間帯別動作内容</t>
  </si>
  <si>
    <t>朝/場中/引け後/夜</t>
  </si>
  <si>
    <t>R-36-01</t>
  </si>
  <si>
    <t>特徴量5条件</t>
  </si>
  <si>
    <t>再現性効く/取得易/欠損少/説明易/実行直結</t>
  </si>
  <si>
    <t>R-36-02</t>
  </si>
  <si>
    <t>A材料特徴量6項目</t>
  </si>
  <si>
    <t>type/freshness/strength/multi/earnings/shareholder_return</t>
  </si>
  <si>
    <t>R-36-03</t>
  </si>
  <si>
    <t>B地合い特徴量6項目</t>
  </si>
  <si>
    <t>nikkei/topix/sector/theme/regime/usd_jpy/overnight_us</t>
  </si>
  <si>
    <t>R-36-04</t>
  </si>
  <si>
    <t>C流動性特徴量6項目</t>
  </si>
  <si>
    <t>volume_ratio/turnover/liquidity/spread/high_price/board</t>
  </si>
  <si>
    <t>R-36-05</t>
  </si>
  <si>
    <t>D値動きテクニカル10項目</t>
  </si>
  <si>
    <t>gap/range/breakout/pullback/vwap/ma/RS/price_action/距離</t>
  </si>
  <si>
    <t>R-36-06</t>
  </si>
  <si>
    <t>E執行品質5項目</t>
  </si>
  <si>
    <t>entry/stop_slippage/partial_fill/fill_quality/forced_close_risk</t>
  </si>
  <si>
    <t>R-36-07</t>
  </si>
  <si>
    <t>F時間帯4項目</t>
  </si>
  <si>
    <t>session_phase/from_open/to_force_close/material_to_entry_lag</t>
  </si>
  <si>
    <t>R-36-08</t>
  </si>
  <si>
    <t>初期に入れない特徴量</t>
  </si>
  <si>
    <t>細かい板/ティック/SNS/有名トレーダー/NLP埋め込み/IR全文/マクロ多変量/画像</t>
  </si>
  <si>
    <t>R-36-09</t>
  </si>
  <si>
    <t>パターン照合最小コア10個</t>
  </si>
  <si>
    <t>material_type/strength/regime/sector_rank/volume/turnover/gap/price_action/vwap/fill_quality</t>
  </si>
  <si>
    <t>R-36-10</t>
  </si>
  <si>
    <t>類似度重み初期</t>
  </si>
  <si>
    <t>材料30/地合20/流動性20/値動き20/執行10+時間帯補正</t>
  </si>
  <si>
    <t>R-37-01</t>
  </si>
  <si>
    <t>保存数と実行で使う有効数は別</t>
  </si>
  <si>
    <t>R-37-02</t>
  </si>
  <si>
    <t>Layer1 Pattern Archive(100+)</t>
  </si>
  <si>
    <t>全履歴</t>
  </si>
  <si>
    <t>R-37-03</t>
  </si>
  <si>
    <t>Layer2 Valid Pattern Library(20-100)</t>
  </si>
  <si>
    <t>現在意味あり</t>
  </si>
  <si>
    <t>R-37-04</t>
  </si>
  <si>
    <t>Layer3 Active Priority Set(3-15)</t>
  </si>
  <si>
    <t>本番執行強使用</t>
  </si>
  <si>
    <t>R-37-05</t>
  </si>
  <si>
    <t>Layer4 Death Note/Rehab</t>
  </si>
  <si>
    <t>凍結・再検証</t>
  </si>
  <si>
    <t>F033, F034</t>
  </si>
  <si>
    <t>R-37-06</t>
  </si>
  <si>
    <t>パターン7状態</t>
  </si>
  <si>
    <t>candidate/paper_validating/approved_active/watchlist/frozen/death_note/rehab</t>
  </si>
  <si>
    <t>R-37-07</t>
  </si>
  <si>
    <t>ランク6段階 S/A/B/C/D/X</t>
  </si>
  <si>
    <t>R-37-08</t>
  </si>
  <si>
    <t>実行エージェント参照フロー5ステップ</t>
  </si>
  <si>
    <t>広く検索/類似順/件数確認/Active Priority重み/watchlist参考/DN除外</t>
  </si>
  <si>
    <t>F031, F032, F111, F115</t>
  </si>
  <si>
    <t>R-37-09</t>
  </si>
  <si>
    <t>pattern_id命名規則 派生管理</t>
  </si>
  <si>
    <t>parent_pattern_id</t>
  </si>
  <si>
    <t>R-37-10</t>
  </si>
  <si>
    <t>バージョン管理原則</t>
  </si>
  <si>
    <t>名前変えず中身変えない・必須フィールド</t>
  </si>
  <si>
    <t>R-37-11</t>
  </si>
  <si>
    <t>週次定期棚卸し</t>
  </si>
  <si>
    <t>Active増/Candidate滞留/DN古い/Rehab再評価/統合</t>
  </si>
  <si>
    <t>F037, F119</t>
  </si>
  <si>
    <t>R-37-12</t>
  </si>
  <si>
    <t>重複パターン統合ルール</t>
  </si>
  <si>
    <t>コア特徴量同一・成績差小・実行条件実質同</t>
  </si>
  <si>
    <t>R-38-01</t>
  </si>
  <si>
    <t>通常運用5モード</t>
  </si>
  <si>
    <t>off/observe_only/paper_live/semi_auto/full_auto</t>
  </si>
  <si>
    <t>R-38-02</t>
  </si>
  <si>
    <t>特別3モード</t>
  </si>
  <si>
    <t>travel/maintenance/emergency_stop</t>
  </si>
  <si>
    <t>R-38-03</t>
  </si>
  <si>
    <t>travel_mode詳細</t>
  </si>
  <si>
    <t>新規禁止/実運用停止/建玉整理/強制クローズ維持/監視Paper選択</t>
  </si>
  <si>
    <t>R-38-04</t>
  </si>
  <si>
    <t>travel_mode開始時安全確認</t>
  </si>
  <si>
    <t>建玉/未約定/semi・full切替/強制クローズ/LINE通知</t>
  </si>
  <si>
    <t>R-38-05</t>
  </si>
  <si>
    <t>travel_mode解除時安全確認</t>
  </si>
  <si>
    <t>楽天/市場/LINE/Dashboard/異常なし/遅延</t>
  </si>
  <si>
    <t>R-38-06</t>
  </si>
  <si>
    <t>travel解除後いきなりFull禁止</t>
  </si>
  <si>
    <t>observe_onlyかpaper_liveから段階的</t>
  </si>
  <si>
    <t>R-38-07</t>
  </si>
  <si>
    <t>期間指定休止</t>
  </si>
  <si>
    <t>開始・終了日時/モード/通知/夜間バッチ</t>
  </si>
  <si>
    <t>R-38-08</t>
  </si>
  <si>
    <t>Dashboard/LINEからモード切替</t>
  </si>
  <si>
    <t>F064, F170</t>
  </si>
  <si>
    <t>R-38-09</t>
  </si>
  <si>
    <t>モード別通知方針</t>
  </si>
  <si>
    <t>R-38-10</t>
  </si>
  <si>
    <t>休止中夜間処理継続可</t>
  </si>
  <si>
    <t>Pattern Research/Eval/Dashboard/レポ準備/データ整備/疎通</t>
  </si>
  <si>
    <t>F172, F035</t>
  </si>
  <si>
    <t>R-39-01</t>
  </si>
  <si>
    <t>M-3 Stage0/1/2 爆速蓄積</t>
  </si>
  <si>
    <t>過去高速リプレイ+Paper並列</t>
  </si>
  <si>
    <t>F220, F045</t>
  </si>
  <si>
    <t>R-39-02</t>
  </si>
  <si>
    <t>M=0 Stage3 実弾初月0.2%</t>
  </si>
  <si>
    <t>執行実測収集・黒字目標</t>
  </si>
  <si>
    <t>F221, F131</t>
  </si>
  <si>
    <t>R-39-03</t>
  </si>
  <si>
    <t>M+1 Stage3 0.3%拡大</t>
  </si>
  <si>
    <t>乖離想定内確認</t>
  </si>
  <si>
    <t>R-39-04</t>
  </si>
  <si>
    <t>M+2〜 Stage3 0.4%フルリスク</t>
  </si>
  <si>
    <t>Library浄化・期待値安定</t>
  </si>
  <si>
    <t>R-39-05</t>
  </si>
  <si>
    <t>M+3以降 Stage4 デイトレSランクFull Auto</t>
  </si>
  <si>
    <t>スイング長期Semi Auto維持</t>
  </si>
  <si>
    <t>章別 要件カバレッジサマリー</t>
  </si>
  <si>
    <t>要件書の各章で、要件が何件ありタスクに落ちているかを集計。未カバーが1件でもあれば要対応。</t>
  </si>
  <si>
    <t>章タイトル</t>
  </si>
  <si>
    <t>要件数</t>
  </si>
  <si>
    <t>カバー済</t>
  </si>
  <si>
    <t>未カバー</t>
  </si>
  <si>
    <t>カバレッジ率</t>
  </si>
  <si>
    <t>プロジェクト概要と最重要目的</t>
  </si>
  <si>
    <t>ユーザープロファイルと投資対象</t>
  </si>
  <si>
    <t>FIREの主戦略(第一エッジ)</t>
  </si>
  <si>
    <t>システム構成(エージェント群)</t>
  </si>
  <si>
    <t>許容損失とリスク管理(準攻撃型)</t>
  </si>
  <si>
    <t>LINE通知設計(注文完成形)</t>
  </si>
  <si>
    <t>候補銘柄の抽出ルール</t>
  </si>
  <si>
    <t>運用スケジュール(時間帯別ルール)</t>
  </si>
  <si>
    <t>スコアリングシステムと特徴量</t>
  </si>
  <si>
    <t>Pattern Store と再現性エンジン</t>
  </si>
  <si>
    <t>全自動運用モードと移行ステップ</t>
  </si>
  <si>
    <t>Evaluation Agent と Dashboard</t>
  </si>
  <si>
    <t>データソース優先順位と縮退運転</t>
  </si>
  <si>
    <t>Claude Code実装に向けた次のステップ</t>
  </si>
  <si>
    <t>Mac miniセットアップ</t>
  </si>
  <si>
    <t>執行品質設計(穴2対策)</t>
  </si>
  <si>
    <t>時間軸戦略方針</t>
  </si>
  <si>
    <t>Simulation / Paper Live 方針</t>
  </si>
  <si>
    <t>FIREの勝率優位性の根拠</t>
  </si>
  <si>
    <t>Pattern Research Agent / Pattern Store詳細</t>
  </si>
  <si>
    <t>データソース依存と縮退運転設計(穴3)</t>
  </si>
  <si>
    <t>FIRE Runtime / 常駐基盤</t>
  </si>
  <si>
    <t>機能の絞り込みと監視階層(穴4)</t>
  </si>
  <si>
    <t>戦略階層と頻度設計</t>
  </si>
  <si>
    <t>FIREのエッジ定義</t>
  </si>
  <si>
    <t>目標圧力と運用規律の分離(穴5)</t>
  </si>
  <si>
    <t>監督者付き自律運用システム(穴6)</t>
  </si>
  <si>
    <t>成功/失敗ラベル定義(穴7)</t>
  </si>
  <si>
    <t>特徴量の初期絞り込み(穴8)</t>
  </si>
  <si>
    <t>Pattern Storeの品質管理(穴9)</t>
  </si>
  <si>
    <t>本番移行基準の厳密化(穴10)</t>
  </si>
  <si>
    <t>人間の運用負荷の上限設計(穴11)</t>
  </si>
  <si>
    <t>本番移行基準の詳細</t>
  </si>
  <si>
    <t>Mac mini 常駐基盤時間帯別分担</t>
  </si>
  <si>
    <t>初期特徴量セットの詳細定義</t>
  </si>
  <si>
    <t>Pattern Store 4階層構造</t>
  </si>
  <si>
    <t>運用モード/休止/旅行モード</t>
  </si>
  <si>
    <t>運用立ち上げロードマップ</t>
  </si>
  <si>
    <t>全体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</si>
</sst>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 x14ac:knownFonts="1">
    <font>
      <sz val="11"/>
      <color theme="1"/>
      <name val="Calibri"/>
      <scheme val="minor"/>
    </font>
    <font>
      <b/>
      <sz val="14"/>
      <color rgb="FF1F3A5F"/>
      <name val="Arial"/>
    </font>
    <font>
      <sz val="10"/>
      <color theme="1"/>
      <name val="Arial"/>
    </font>
    <font>
      <sz val="10"/>
      <color theme="1"/>
      <name val="Noto Sans"/>
    </font>
    <font>
      <b/>
      <sz val="10"/>
      <color theme="1"/>
      <name val="Noto Sans"/>
    </font>
    <font>
      <sz val="11"/>
      <color theme="1"/>
      <name val="Calibri"/>
    </font>
    <font>
      <b/>
      <sz val="10"/>
      <color theme="1"/>
      <name val="Arial"/>
    </font>
    <font>
      <b/>
      <sz val="11"/>
      <color rgb="FFFFFFFF"/>
      <name val="Arial"/>
    </font>
    <font>
      <b/>
      <sz val="11"/>
      <color rgb="FFFFFFFF"/>
      <name val="Noto Sans"/>
    </font>
    <font>
      <sz val="11"/>
      <color theme="1"/>
      <name val="Calibri"/>
      <scheme val="minor"/>
    </font>
    <font>
      <b/>
      <sz val="12"/>
      <color rgb="FF1F3A5F"/>
      <name val="Noto Sans"/>
    </font>
    <font>
      <b/>
      <sz val="14"/>
      <color rgb="FF1F3A5F"/>
      <name val="Noto Sans"/>
    </font>
    <font>
      <i/>
      <sz val="10"/>
      <color rgb="FF555555"/>
      <name val="Arial"/>
    </font>
    <font>
      <i/>
      <sz val="9"/>
      <color rgb="FF555555"/>
      <name val="Noto Sans"/>
    </font>
    <font>
      <sz val="6"/>
      <name val="Calibri"/>
      <family val="3"/>
      <charset val="128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A5F"/>
        <bgColor rgb="FF1F3A5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D700"/>
        <bgColor rgb="FFFFD700"/>
      </patternFill>
    </fill>
    <fill>
      <patternFill patternType="solid">
        <fgColor rgb="FFFFB347"/>
        <bgColor rgb="FFFFB347"/>
      </patternFill>
    </fill>
    <fill>
      <patternFill patternType="solid">
        <fgColor rgb="FFFFF59D"/>
        <bgColor rgb="FFFFF59D"/>
      </patternFill>
    </fill>
    <fill>
      <patternFill patternType="solid">
        <fgColor rgb="FFFFA500"/>
        <bgColor rgb="FFFFA500"/>
      </patternFill>
    </fill>
    <fill>
      <patternFill patternType="solid">
        <fgColor rgb="FFFF6B6B"/>
        <bgColor rgb="FFFF6B6B"/>
      </patternFill>
    </fill>
    <fill>
      <patternFill patternType="solid">
        <fgColor rgb="FF98FB98"/>
        <bgColor rgb="FF98FB98"/>
      </patternFill>
    </fill>
    <fill>
      <patternFill patternType="solid">
        <fgColor rgb="FFB0E0E6"/>
        <bgColor rgb="FFB0E0E6"/>
      </patternFill>
    </fill>
    <fill>
      <patternFill patternType="solid">
        <fgColor rgb="FFDDA0DD"/>
        <bgColor rgb="FFDDA0DD"/>
      </patternFill>
    </fill>
    <fill>
      <patternFill patternType="solid">
        <fgColor rgb="FFF08080"/>
        <bgColor rgb="FFF08080"/>
      </patternFill>
    </fill>
    <fill>
      <patternFill patternType="solid">
        <fgColor rgb="FFFA8072"/>
        <bgColor rgb="FFFA8072"/>
      </patternFill>
    </fill>
    <fill>
      <patternFill patternType="solid">
        <fgColor rgb="FFDC143C"/>
        <bgColor rgb="FFDC143C"/>
      </patternFill>
    </fill>
    <fill>
      <patternFill patternType="solid">
        <fgColor rgb="FFC5E1A5"/>
        <bgColor rgb="FFC5E1A5"/>
      </patternFill>
    </fill>
    <fill>
      <patternFill patternType="solid">
        <fgColor rgb="FFD3D3D3"/>
        <bgColor rgb="FFD3D3D3"/>
      </patternFill>
    </fill>
    <fill>
      <patternFill patternType="solid">
        <fgColor rgb="FFFFE4B5"/>
        <bgColor rgb="FFFFE4B5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9" fillId="3" borderId="0" xfId="0" applyFont="1" applyFill="1"/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9" fillId="4" borderId="0" xfId="0" applyFont="1" applyFill="1"/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9" fillId="5" borderId="0" xfId="0" applyFont="1" applyFill="1"/>
    <xf numFmtId="0" fontId="2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vertical="top" wrapText="1"/>
    </xf>
    <xf numFmtId="0" fontId="2" fillId="18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0" fontId="2" fillId="19" borderId="1" xfId="0" applyFont="1" applyFill="1" applyBorder="1"/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6" borderId="1" xfId="0" applyFont="1" applyFill="1" applyBorder="1"/>
    <xf numFmtId="0" fontId="2" fillId="9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8" borderId="1" xfId="0" applyFont="1" applyFill="1" applyBorder="1"/>
    <xf numFmtId="0" fontId="4" fillId="20" borderId="1" xfId="0" applyFont="1" applyFill="1" applyBorder="1"/>
    <xf numFmtId="0" fontId="6" fillId="20" borderId="1" xfId="0" applyFont="1" applyFill="1" applyBorder="1" applyAlignment="1">
      <alignment horizontal="center"/>
    </xf>
    <xf numFmtId="176" fontId="6" fillId="20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17" borderId="1" xfId="0" applyFont="1" applyFill="1" applyBorder="1"/>
    <xf numFmtId="0" fontId="3" fillId="21" borderId="1" xfId="0" applyFont="1" applyFill="1" applyBorder="1" applyAlignment="1">
      <alignment vertical="top" wrapText="1"/>
    </xf>
    <xf numFmtId="0" fontId="3" fillId="2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10" fillId="0" borderId="0" xfId="0" applyFont="1"/>
    <xf numFmtId="0" fontId="12" fillId="0" borderId="0" xfId="0" applyFont="1"/>
    <xf numFmtId="0" fontId="2" fillId="0" borderId="0" xfId="0" applyFont="1" applyAlignment="1">
      <alignment vertical="top" wrapText="1"/>
    </xf>
    <xf numFmtId="0" fontId="11" fillId="0" borderId="0" xfId="0" applyFont="1"/>
    <xf numFmtId="0" fontId="13" fillId="0" borderId="0" xfId="0" applyFont="1"/>
  </cellXfs>
  <cellStyles count="1">
    <cellStyle name="標準" xfId="0" builtinId="0"/>
  </cellStyles>
  <dxfs count="4"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opLeftCell="A24" workbookViewId="0">
      <selection sqref="A1:C1"/>
    </sheetView>
  </sheetViews>
  <sheetFormatPr defaultColWidth="14.44140625" defaultRowHeight="15" customHeight="1" x14ac:dyDescent="0.3"/>
  <cols>
    <col min="1" max="1" width="28" customWidth="1"/>
    <col min="2" max="2" width="90" customWidth="1"/>
    <col min="3" max="26" width="8.6640625" customWidth="1"/>
  </cols>
  <sheetData>
    <row r="1" spans="1:3" ht="21" customHeight="1" x14ac:dyDescent="0.3">
      <c r="A1" s="59" t="s">
        <v>0</v>
      </c>
      <c r="B1" s="60"/>
      <c r="C1" s="60"/>
    </row>
    <row r="2" spans="1:3" ht="15" customHeight="1" x14ac:dyDescent="0.3">
      <c r="A2" s="1"/>
      <c r="B2" s="1"/>
    </row>
    <row r="3" spans="1:3" ht="15" customHeight="1" x14ac:dyDescent="0.35">
      <c r="A3" s="2" t="s">
        <v>1</v>
      </c>
      <c r="B3" s="1" t="s">
        <v>2</v>
      </c>
    </row>
    <row r="4" spans="1:3" ht="15" customHeight="1" x14ac:dyDescent="0.35">
      <c r="A4" s="2" t="s">
        <v>3</v>
      </c>
      <c r="B4" s="1" t="s">
        <v>4</v>
      </c>
    </row>
    <row r="5" spans="1:3" ht="15" customHeight="1" x14ac:dyDescent="0.35">
      <c r="A5" s="2" t="s">
        <v>5</v>
      </c>
      <c r="B5" s="2" t="s">
        <v>6</v>
      </c>
    </row>
    <row r="6" spans="1:3" ht="15" customHeight="1" x14ac:dyDescent="0.35">
      <c r="A6" s="2" t="s">
        <v>7</v>
      </c>
      <c r="B6" s="1" t="s">
        <v>8</v>
      </c>
    </row>
    <row r="7" spans="1:3" ht="15" customHeight="1" x14ac:dyDescent="0.3">
      <c r="A7" s="1"/>
      <c r="B7" s="1"/>
    </row>
    <row r="8" spans="1:3" ht="15" customHeight="1" x14ac:dyDescent="0.35">
      <c r="A8" s="3" t="s">
        <v>9</v>
      </c>
      <c r="B8" s="1"/>
    </row>
    <row r="9" spans="1:3" ht="15" customHeight="1" x14ac:dyDescent="0.35">
      <c r="A9" s="1" t="s">
        <v>10</v>
      </c>
      <c r="B9" s="2" t="s">
        <v>11</v>
      </c>
    </row>
    <row r="10" spans="1:3" ht="15" customHeight="1" x14ac:dyDescent="0.35">
      <c r="A10" s="1" t="s">
        <v>12</v>
      </c>
      <c r="B10" s="2" t="s">
        <v>13</v>
      </c>
    </row>
    <row r="11" spans="1:3" ht="15" customHeight="1" x14ac:dyDescent="0.35">
      <c r="A11" s="1" t="s">
        <v>14</v>
      </c>
      <c r="B11" s="2" t="s">
        <v>15</v>
      </c>
    </row>
    <row r="12" spans="1:3" ht="15" customHeight="1" x14ac:dyDescent="0.3">
      <c r="A12" s="1" t="s">
        <v>16</v>
      </c>
      <c r="B12" s="1" t="s">
        <v>17</v>
      </c>
    </row>
    <row r="13" spans="1:3" ht="15" customHeight="1" x14ac:dyDescent="0.3">
      <c r="A13" s="1" t="s">
        <v>18</v>
      </c>
      <c r="B13" s="1" t="s">
        <v>19</v>
      </c>
    </row>
    <row r="14" spans="1:3" ht="15" customHeight="1" x14ac:dyDescent="0.3">
      <c r="A14" s="1" t="s">
        <v>20</v>
      </c>
      <c r="B14" s="1" t="s">
        <v>21</v>
      </c>
    </row>
    <row r="15" spans="1:3" ht="15" customHeight="1" x14ac:dyDescent="0.35">
      <c r="A15" s="1" t="s">
        <v>22</v>
      </c>
      <c r="B15" s="2" t="s">
        <v>23</v>
      </c>
    </row>
    <row r="16" spans="1:3" ht="15" customHeight="1" x14ac:dyDescent="0.3">
      <c r="A16" s="1"/>
      <c r="B16" s="1"/>
    </row>
    <row r="17" spans="1:2" ht="15" customHeight="1" x14ac:dyDescent="0.35">
      <c r="A17" s="3" t="s">
        <v>24</v>
      </c>
      <c r="B17" s="1"/>
    </row>
    <row r="18" spans="1:2" ht="15" customHeight="1" x14ac:dyDescent="0.35">
      <c r="A18" s="2" t="s">
        <v>25</v>
      </c>
      <c r="B18" s="2" t="s">
        <v>26</v>
      </c>
    </row>
    <row r="19" spans="1:2" ht="15" customHeight="1" x14ac:dyDescent="0.35">
      <c r="A19" s="2" t="s">
        <v>27</v>
      </c>
      <c r="B19" s="2" t="s">
        <v>28</v>
      </c>
    </row>
    <row r="20" spans="1:2" ht="15" customHeight="1" x14ac:dyDescent="0.35">
      <c r="A20" s="2" t="s">
        <v>29</v>
      </c>
      <c r="B20" s="2" t="s">
        <v>30</v>
      </c>
    </row>
    <row r="21" spans="1:2" ht="15" customHeight="1" x14ac:dyDescent="0.35">
      <c r="A21" s="2" t="s">
        <v>31</v>
      </c>
      <c r="B21" s="2" t="s">
        <v>32</v>
      </c>
    </row>
    <row r="22" spans="1:2" ht="15" customHeight="1" x14ac:dyDescent="0.35">
      <c r="A22" s="2" t="s">
        <v>33</v>
      </c>
      <c r="B22" s="2" t="s">
        <v>34</v>
      </c>
    </row>
    <row r="23" spans="1:2" ht="15" customHeight="1" x14ac:dyDescent="0.35">
      <c r="A23" s="2" t="s">
        <v>35</v>
      </c>
      <c r="B23" s="2" t="s">
        <v>36</v>
      </c>
    </row>
    <row r="24" spans="1:2" ht="15" customHeight="1" x14ac:dyDescent="0.35">
      <c r="A24" s="2" t="s">
        <v>37</v>
      </c>
      <c r="B24" s="2" t="s">
        <v>38</v>
      </c>
    </row>
    <row r="25" spans="1:2" ht="15" customHeight="1" x14ac:dyDescent="0.3">
      <c r="A25" s="1"/>
      <c r="B25" s="1"/>
    </row>
    <row r="26" spans="1:2" ht="15" customHeight="1" x14ac:dyDescent="0.35">
      <c r="A26" s="3" t="s">
        <v>39</v>
      </c>
      <c r="B26" s="1"/>
    </row>
    <row r="27" spans="1:2" ht="15" customHeight="1" x14ac:dyDescent="0.35">
      <c r="A27" s="2" t="s">
        <v>40</v>
      </c>
      <c r="B27" s="2" t="s">
        <v>41</v>
      </c>
    </row>
    <row r="28" spans="1:2" ht="15" customHeight="1" x14ac:dyDescent="0.35">
      <c r="A28" s="2" t="s">
        <v>42</v>
      </c>
      <c r="B28" s="2" t="s">
        <v>43</v>
      </c>
    </row>
    <row r="29" spans="1:2" ht="15" customHeight="1" x14ac:dyDescent="0.35">
      <c r="A29" s="2" t="s">
        <v>44</v>
      </c>
      <c r="B29" s="2" t="s">
        <v>45</v>
      </c>
    </row>
    <row r="30" spans="1:2" ht="15" customHeight="1" x14ac:dyDescent="0.35">
      <c r="A30" s="2" t="s">
        <v>46</v>
      </c>
      <c r="B30" s="2" t="s">
        <v>47</v>
      </c>
    </row>
    <row r="31" spans="1:2" ht="15" customHeight="1" x14ac:dyDescent="0.3">
      <c r="A31" s="1"/>
      <c r="B31" s="1"/>
    </row>
    <row r="32" spans="1:2" ht="15" customHeight="1" x14ac:dyDescent="0.35">
      <c r="A32" s="3" t="s">
        <v>48</v>
      </c>
      <c r="B32" s="1"/>
    </row>
    <row r="33" spans="1:2" ht="15" customHeight="1" x14ac:dyDescent="0.3">
      <c r="A33" s="1" t="s">
        <v>49</v>
      </c>
      <c r="B33" s="1" t="s">
        <v>50</v>
      </c>
    </row>
    <row r="34" spans="1:2" ht="15" customHeight="1" x14ac:dyDescent="0.35">
      <c r="A34" s="1" t="s">
        <v>51</v>
      </c>
      <c r="B34" s="2" t="s">
        <v>52</v>
      </c>
    </row>
    <row r="35" spans="1:2" ht="15" customHeight="1" x14ac:dyDescent="0.35">
      <c r="A35" s="1" t="s">
        <v>53</v>
      </c>
      <c r="B35" s="2" t="s">
        <v>54</v>
      </c>
    </row>
    <row r="36" spans="1:2" ht="15" customHeight="1" x14ac:dyDescent="0.35">
      <c r="A36" s="1" t="s">
        <v>55</v>
      </c>
      <c r="B36" s="2" t="s">
        <v>56</v>
      </c>
    </row>
    <row r="37" spans="1:2" ht="15" customHeight="1" x14ac:dyDescent="0.3">
      <c r="A37" s="1"/>
      <c r="B37" s="1"/>
    </row>
    <row r="38" spans="1:2" ht="15" customHeight="1" x14ac:dyDescent="0.35">
      <c r="A38" s="3" t="s">
        <v>57</v>
      </c>
      <c r="B38" s="1"/>
    </row>
    <row r="39" spans="1:2" ht="15" customHeight="1" x14ac:dyDescent="0.3">
      <c r="A39" s="1" t="s">
        <v>49</v>
      </c>
      <c r="B39" s="1" t="s">
        <v>58</v>
      </c>
    </row>
    <row r="40" spans="1:2" ht="15" customHeight="1" x14ac:dyDescent="0.35">
      <c r="A40" s="1" t="s">
        <v>51</v>
      </c>
      <c r="B40" s="2" t="s">
        <v>59</v>
      </c>
    </row>
    <row r="41" spans="1:2" ht="15" customHeight="1" x14ac:dyDescent="0.3">
      <c r="A41" s="1" t="s">
        <v>53</v>
      </c>
      <c r="B41" s="1" t="s">
        <v>60</v>
      </c>
    </row>
    <row r="42" spans="1:2" ht="15" customHeight="1" x14ac:dyDescent="0.3">
      <c r="A42" s="1" t="s">
        <v>55</v>
      </c>
      <c r="B42" s="1" t="s">
        <v>61</v>
      </c>
    </row>
    <row r="43" spans="1:2" ht="15.75" customHeight="1" x14ac:dyDescent="0.3">
      <c r="A43" s="4"/>
      <c r="B43" s="4"/>
    </row>
    <row r="44" spans="1:2" ht="15" customHeight="1" x14ac:dyDescent="0.3">
      <c r="A44" s="1"/>
      <c r="B44" s="1"/>
    </row>
    <row r="45" spans="1:2" ht="15" customHeight="1" x14ac:dyDescent="0.35">
      <c r="A45" s="3" t="s">
        <v>62</v>
      </c>
      <c r="B45" s="1"/>
    </row>
    <row r="46" spans="1:2" ht="15" customHeight="1" x14ac:dyDescent="0.35">
      <c r="A46" s="1" t="s">
        <v>63</v>
      </c>
      <c r="B46" s="2" t="s">
        <v>64</v>
      </c>
    </row>
    <row r="47" spans="1:2" ht="15" customHeight="1" x14ac:dyDescent="0.35">
      <c r="A47" s="1" t="s">
        <v>65</v>
      </c>
      <c r="B47" s="2" t="s">
        <v>66</v>
      </c>
    </row>
    <row r="48" spans="1:2" ht="15" customHeight="1" x14ac:dyDescent="0.3">
      <c r="A48" s="1"/>
      <c r="B48" s="1"/>
    </row>
    <row r="49" spans="1:2" ht="15" customHeight="1" x14ac:dyDescent="0.35">
      <c r="A49" s="3" t="s">
        <v>67</v>
      </c>
      <c r="B49" s="1"/>
    </row>
    <row r="50" spans="1:2" ht="15" customHeight="1" x14ac:dyDescent="0.35">
      <c r="A50" s="1" t="s">
        <v>49</v>
      </c>
      <c r="B50" s="2" t="s">
        <v>68</v>
      </c>
    </row>
    <row r="51" spans="1:2" ht="15" customHeight="1" x14ac:dyDescent="0.35">
      <c r="A51" s="1" t="s">
        <v>51</v>
      </c>
      <c r="B51" s="2" t="s">
        <v>69</v>
      </c>
    </row>
    <row r="52" spans="1:2" ht="15" customHeight="1" x14ac:dyDescent="0.35">
      <c r="A52" s="1" t="s">
        <v>53</v>
      </c>
      <c r="B52" s="2" t="s">
        <v>70</v>
      </c>
    </row>
    <row r="53" spans="1:2" ht="15" customHeight="1" x14ac:dyDescent="0.35">
      <c r="A53" s="1" t="s">
        <v>55</v>
      </c>
      <c r="B53" s="2" t="s">
        <v>71</v>
      </c>
    </row>
    <row r="54" spans="1:2" ht="15.75" customHeight="1" x14ac:dyDescent="0.3">
      <c r="A54" s="4"/>
      <c r="B54" s="4"/>
    </row>
    <row r="55" spans="1:2" ht="15" customHeight="1" x14ac:dyDescent="0.3">
      <c r="A55" s="1"/>
      <c r="B55" s="1"/>
    </row>
    <row r="56" spans="1:2" ht="15" customHeight="1" x14ac:dyDescent="0.3">
      <c r="A56" s="5" t="s">
        <v>72</v>
      </c>
      <c r="B56" s="1"/>
    </row>
    <row r="57" spans="1:2" ht="15" customHeight="1" x14ac:dyDescent="0.35">
      <c r="A57" s="2" t="s">
        <v>73</v>
      </c>
      <c r="B57" s="1" t="s">
        <v>74</v>
      </c>
    </row>
    <row r="58" spans="1:2" ht="15" customHeight="1" x14ac:dyDescent="0.3">
      <c r="A58" s="1"/>
      <c r="B58" s="1"/>
    </row>
    <row r="59" spans="1:2" ht="15" customHeight="1" x14ac:dyDescent="0.3">
      <c r="A59" s="5" t="s">
        <v>75</v>
      </c>
      <c r="B59" s="1"/>
    </row>
    <row r="60" spans="1:2" ht="15" customHeight="1" x14ac:dyDescent="0.35">
      <c r="A60" s="2" t="s">
        <v>76</v>
      </c>
      <c r="B60" s="1" t="s">
        <v>77</v>
      </c>
    </row>
    <row r="61" spans="1:2" ht="15" customHeight="1" x14ac:dyDescent="0.35">
      <c r="A61" s="2" t="s">
        <v>78</v>
      </c>
      <c r="B61" s="1" t="s">
        <v>79</v>
      </c>
    </row>
    <row r="62" spans="1:2" ht="15" customHeight="1" x14ac:dyDescent="0.35">
      <c r="A62" s="2" t="s">
        <v>80</v>
      </c>
      <c r="B62" s="1" t="s">
        <v>81</v>
      </c>
    </row>
    <row r="63" spans="1:2" ht="15.75" customHeight="1" x14ac:dyDescent="0.3">
      <c r="A63" s="4"/>
      <c r="B63" s="4"/>
    </row>
    <row r="64" spans="1:2" ht="15.75" customHeight="1" x14ac:dyDescent="0.3">
      <c r="A64" s="4"/>
      <c r="B64" s="4"/>
    </row>
    <row r="65" spans="1:2" ht="15.75" customHeight="1" x14ac:dyDescent="0.3">
      <c r="A65" s="4"/>
      <c r="B65" s="4"/>
    </row>
    <row r="66" spans="1:2" ht="15.75" customHeight="1" x14ac:dyDescent="0.3">
      <c r="A66" s="4"/>
      <c r="B66" s="4"/>
    </row>
    <row r="67" spans="1:2" ht="15.75" customHeight="1" x14ac:dyDescent="0.3">
      <c r="A67" s="4"/>
      <c r="B67" s="4"/>
    </row>
    <row r="68" spans="1:2" ht="15.75" customHeight="1" x14ac:dyDescent="0.3">
      <c r="A68" s="4"/>
      <c r="B68" s="4"/>
    </row>
    <row r="69" spans="1:2" ht="15.75" customHeight="1" x14ac:dyDescent="0.3">
      <c r="A69" s="4"/>
      <c r="B69" s="4"/>
    </row>
    <row r="70" spans="1:2" ht="15.75" customHeight="1" x14ac:dyDescent="0.3">
      <c r="A70" s="4"/>
      <c r="B70" s="4"/>
    </row>
    <row r="71" spans="1:2" ht="15.75" customHeight="1" x14ac:dyDescent="0.3">
      <c r="A71" s="4"/>
      <c r="B71" s="4"/>
    </row>
    <row r="72" spans="1:2" ht="15.75" customHeight="1" x14ac:dyDescent="0.3">
      <c r="A72" s="4"/>
      <c r="B72" s="4"/>
    </row>
    <row r="73" spans="1:2" ht="15.75" customHeight="1" x14ac:dyDescent="0.3">
      <c r="A73" s="4"/>
      <c r="B73" s="4"/>
    </row>
    <row r="74" spans="1:2" ht="15.75" customHeight="1" x14ac:dyDescent="0.3">
      <c r="A74" s="4"/>
      <c r="B74" s="4"/>
    </row>
    <row r="75" spans="1:2" ht="15.75" customHeight="1" x14ac:dyDescent="0.3">
      <c r="A75" s="4"/>
      <c r="B75" s="4"/>
    </row>
    <row r="76" spans="1:2" ht="15.75" customHeight="1" x14ac:dyDescent="0.3">
      <c r="A76" s="4"/>
      <c r="B76" s="4"/>
    </row>
    <row r="77" spans="1:2" ht="15.75" customHeight="1" x14ac:dyDescent="0.3">
      <c r="A77" s="4"/>
      <c r="B77" s="4"/>
    </row>
    <row r="78" spans="1:2" ht="15.75" customHeight="1" x14ac:dyDescent="0.3">
      <c r="A78" s="4"/>
      <c r="B78" s="4"/>
    </row>
    <row r="79" spans="1:2" ht="15.75" customHeight="1" x14ac:dyDescent="0.3">
      <c r="A79" s="4"/>
      <c r="B79" s="4"/>
    </row>
    <row r="80" spans="1:2" ht="15.75" customHeight="1" x14ac:dyDescent="0.3">
      <c r="A80" s="4"/>
      <c r="B80" s="4"/>
    </row>
    <row r="81" spans="1:2" ht="15.75" customHeight="1" x14ac:dyDescent="0.3">
      <c r="A81" s="4"/>
      <c r="B81" s="4"/>
    </row>
    <row r="82" spans="1:2" ht="15.75" customHeight="1" x14ac:dyDescent="0.3">
      <c r="A82" s="4"/>
      <c r="B82" s="4"/>
    </row>
    <row r="83" spans="1:2" ht="15.75" customHeight="1" x14ac:dyDescent="0.3">
      <c r="A83" s="4"/>
      <c r="B83" s="4"/>
    </row>
    <row r="84" spans="1:2" ht="15.75" customHeight="1" x14ac:dyDescent="0.3">
      <c r="A84" s="4"/>
      <c r="B84" s="4"/>
    </row>
    <row r="85" spans="1:2" ht="15.75" customHeight="1" x14ac:dyDescent="0.3">
      <c r="A85" s="4"/>
      <c r="B85" s="4"/>
    </row>
    <row r="86" spans="1:2" ht="15.75" customHeight="1" x14ac:dyDescent="0.3">
      <c r="A86" s="4"/>
      <c r="B86" s="4"/>
    </row>
    <row r="87" spans="1:2" ht="15.75" customHeight="1" x14ac:dyDescent="0.3">
      <c r="A87" s="4"/>
      <c r="B87" s="4"/>
    </row>
    <row r="88" spans="1:2" ht="15.75" customHeight="1" x14ac:dyDescent="0.3">
      <c r="A88" s="4"/>
      <c r="B88" s="4"/>
    </row>
    <row r="89" spans="1:2" ht="15.75" customHeight="1" x14ac:dyDescent="0.3">
      <c r="A89" s="4"/>
      <c r="B89" s="4"/>
    </row>
    <row r="90" spans="1:2" ht="15.75" customHeight="1" x14ac:dyDescent="0.3">
      <c r="A90" s="4"/>
      <c r="B90" s="4"/>
    </row>
    <row r="91" spans="1:2" ht="15.75" customHeight="1" x14ac:dyDescent="0.3">
      <c r="A91" s="4"/>
      <c r="B91" s="4"/>
    </row>
    <row r="92" spans="1:2" ht="15.75" customHeight="1" x14ac:dyDescent="0.3">
      <c r="A92" s="4"/>
      <c r="B92" s="4"/>
    </row>
    <row r="93" spans="1:2" ht="15.75" customHeight="1" x14ac:dyDescent="0.3">
      <c r="A93" s="4"/>
      <c r="B93" s="4"/>
    </row>
    <row r="94" spans="1:2" ht="15.75" customHeight="1" x14ac:dyDescent="0.3">
      <c r="A94" s="4"/>
      <c r="B94" s="4"/>
    </row>
    <row r="95" spans="1:2" ht="15.75" customHeight="1" x14ac:dyDescent="0.3">
      <c r="A95" s="4"/>
      <c r="B95" s="4"/>
    </row>
    <row r="96" spans="1:2" ht="15.75" customHeight="1" x14ac:dyDescent="0.3">
      <c r="A96" s="4"/>
      <c r="B96" s="4"/>
    </row>
    <row r="97" spans="1:2" ht="15.75" customHeight="1" x14ac:dyDescent="0.3">
      <c r="A97" s="4"/>
      <c r="B97" s="4"/>
    </row>
    <row r="98" spans="1:2" ht="15.75" customHeight="1" x14ac:dyDescent="0.3">
      <c r="A98" s="4"/>
      <c r="B98" s="4"/>
    </row>
    <row r="99" spans="1:2" ht="15.75" customHeight="1" x14ac:dyDescent="0.3">
      <c r="A99" s="4"/>
      <c r="B99" s="4"/>
    </row>
    <row r="100" spans="1:2" ht="15.75" customHeight="1" x14ac:dyDescent="0.3">
      <c r="A100" s="4"/>
      <c r="B100" s="4"/>
    </row>
    <row r="101" spans="1:2" ht="15.75" customHeight="1" x14ac:dyDescent="0.3">
      <c r="A101" s="4"/>
      <c r="B101" s="4"/>
    </row>
    <row r="102" spans="1:2" ht="15.75" customHeight="1" x14ac:dyDescent="0.3">
      <c r="A102" s="4"/>
      <c r="B102" s="4"/>
    </row>
    <row r="103" spans="1:2" ht="15.75" customHeight="1" x14ac:dyDescent="0.3">
      <c r="A103" s="4"/>
      <c r="B103" s="4"/>
    </row>
    <row r="104" spans="1:2" ht="15.75" customHeight="1" x14ac:dyDescent="0.3">
      <c r="A104" s="4"/>
      <c r="B104" s="4"/>
    </row>
    <row r="105" spans="1:2" ht="15.75" customHeight="1" x14ac:dyDescent="0.3">
      <c r="A105" s="4"/>
      <c r="B105" s="4"/>
    </row>
    <row r="106" spans="1:2" ht="15.75" customHeight="1" x14ac:dyDescent="0.3">
      <c r="A106" s="4"/>
      <c r="B106" s="4"/>
    </row>
    <row r="107" spans="1:2" ht="15.75" customHeight="1" x14ac:dyDescent="0.3">
      <c r="A107" s="4"/>
      <c r="B107" s="4"/>
    </row>
    <row r="108" spans="1:2" ht="15.75" customHeight="1" x14ac:dyDescent="0.3">
      <c r="A108" s="4"/>
      <c r="B108" s="4"/>
    </row>
    <row r="109" spans="1:2" ht="15.75" customHeight="1" x14ac:dyDescent="0.3">
      <c r="A109" s="4"/>
      <c r="B109" s="4"/>
    </row>
    <row r="110" spans="1:2" ht="15.75" customHeight="1" x14ac:dyDescent="0.3">
      <c r="A110" s="4"/>
      <c r="B110" s="4"/>
    </row>
    <row r="111" spans="1:2" ht="15.75" customHeight="1" x14ac:dyDescent="0.3">
      <c r="A111" s="4"/>
      <c r="B111" s="4"/>
    </row>
    <row r="112" spans="1:2" ht="15.75" customHeight="1" x14ac:dyDescent="0.3">
      <c r="A112" s="4"/>
      <c r="B112" s="4"/>
    </row>
    <row r="113" spans="1:2" ht="15.75" customHeight="1" x14ac:dyDescent="0.3">
      <c r="A113" s="4"/>
      <c r="B113" s="4"/>
    </row>
    <row r="114" spans="1:2" ht="15.75" customHeight="1" x14ac:dyDescent="0.3">
      <c r="A114" s="4"/>
      <c r="B114" s="4"/>
    </row>
    <row r="115" spans="1:2" ht="15.75" customHeight="1" x14ac:dyDescent="0.3">
      <c r="A115" s="4"/>
      <c r="B115" s="4"/>
    </row>
    <row r="116" spans="1:2" ht="15.75" customHeight="1" x14ac:dyDescent="0.3">
      <c r="A116" s="4"/>
      <c r="B116" s="4"/>
    </row>
    <row r="117" spans="1:2" ht="15.75" customHeight="1" x14ac:dyDescent="0.3">
      <c r="A117" s="4"/>
      <c r="B117" s="4"/>
    </row>
    <row r="118" spans="1:2" ht="15.75" customHeight="1" x14ac:dyDescent="0.3">
      <c r="A118" s="4"/>
      <c r="B118" s="4"/>
    </row>
    <row r="119" spans="1:2" ht="15.75" customHeight="1" x14ac:dyDescent="0.3">
      <c r="A119" s="4"/>
      <c r="B119" s="4"/>
    </row>
    <row r="120" spans="1:2" ht="15.75" customHeight="1" x14ac:dyDescent="0.3">
      <c r="A120" s="4"/>
      <c r="B120" s="4"/>
    </row>
    <row r="121" spans="1:2" ht="15.75" customHeight="1" x14ac:dyDescent="0.3">
      <c r="A121" s="4"/>
      <c r="B121" s="4"/>
    </row>
    <row r="122" spans="1:2" ht="15.75" customHeight="1" x14ac:dyDescent="0.3">
      <c r="A122" s="4"/>
      <c r="B122" s="4"/>
    </row>
    <row r="123" spans="1:2" ht="15.75" customHeight="1" x14ac:dyDescent="0.3">
      <c r="A123" s="4"/>
      <c r="B123" s="4"/>
    </row>
    <row r="124" spans="1:2" ht="15.75" customHeight="1" x14ac:dyDescent="0.3">
      <c r="A124" s="4"/>
      <c r="B124" s="4"/>
    </row>
    <row r="125" spans="1:2" ht="15.75" customHeight="1" x14ac:dyDescent="0.3">
      <c r="A125" s="4"/>
      <c r="B125" s="4"/>
    </row>
    <row r="126" spans="1:2" ht="15.75" customHeight="1" x14ac:dyDescent="0.3">
      <c r="A126" s="4"/>
      <c r="B126" s="4"/>
    </row>
    <row r="127" spans="1:2" ht="15.75" customHeight="1" x14ac:dyDescent="0.3">
      <c r="A127" s="4"/>
      <c r="B127" s="4"/>
    </row>
    <row r="128" spans="1:2" ht="15.75" customHeight="1" x14ac:dyDescent="0.3">
      <c r="A128" s="4"/>
      <c r="B128" s="4"/>
    </row>
    <row r="129" spans="1:2" ht="15.75" customHeight="1" x14ac:dyDescent="0.3">
      <c r="A129" s="4"/>
      <c r="B129" s="4"/>
    </row>
    <row r="130" spans="1:2" ht="15.75" customHeight="1" x14ac:dyDescent="0.3">
      <c r="A130" s="4"/>
      <c r="B130" s="4"/>
    </row>
    <row r="131" spans="1:2" ht="15.75" customHeight="1" x14ac:dyDescent="0.3">
      <c r="A131" s="4"/>
      <c r="B131" s="4"/>
    </row>
    <row r="132" spans="1:2" ht="15.75" customHeight="1" x14ac:dyDescent="0.3">
      <c r="A132" s="4"/>
      <c r="B132" s="4"/>
    </row>
    <row r="133" spans="1:2" ht="15.75" customHeight="1" x14ac:dyDescent="0.3">
      <c r="A133" s="4"/>
      <c r="B133" s="4"/>
    </row>
    <row r="134" spans="1:2" ht="15.75" customHeight="1" x14ac:dyDescent="0.3">
      <c r="A134" s="4"/>
      <c r="B134" s="4"/>
    </row>
    <row r="135" spans="1:2" ht="15.75" customHeight="1" x14ac:dyDescent="0.3">
      <c r="A135" s="4"/>
      <c r="B135" s="4"/>
    </row>
    <row r="136" spans="1:2" ht="15.75" customHeight="1" x14ac:dyDescent="0.3">
      <c r="A136" s="4"/>
      <c r="B136" s="4"/>
    </row>
    <row r="137" spans="1:2" ht="15.75" customHeight="1" x14ac:dyDescent="0.3">
      <c r="A137" s="4"/>
      <c r="B137" s="4"/>
    </row>
    <row r="138" spans="1:2" ht="15.75" customHeight="1" x14ac:dyDescent="0.3">
      <c r="A138" s="4"/>
      <c r="B138" s="4"/>
    </row>
    <row r="139" spans="1:2" ht="15.75" customHeight="1" x14ac:dyDescent="0.3">
      <c r="A139" s="4"/>
      <c r="B139" s="4"/>
    </row>
    <row r="140" spans="1:2" ht="15.75" customHeight="1" x14ac:dyDescent="0.3">
      <c r="A140" s="4"/>
      <c r="B140" s="4"/>
    </row>
    <row r="141" spans="1:2" ht="15.75" customHeight="1" x14ac:dyDescent="0.3">
      <c r="A141" s="4"/>
      <c r="B141" s="4"/>
    </row>
    <row r="142" spans="1:2" ht="15.75" customHeight="1" x14ac:dyDescent="0.3">
      <c r="A142" s="4"/>
      <c r="B142" s="4"/>
    </row>
    <row r="143" spans="1:2" ht="15.75" customHeight="1" x14ac:dyDescent="0.3">
      <c r="A143" s="4"/>
      <c r="B143" s="4"/>
    </row>
    <row r="144" spans="1:2" ht="15.75" customHeight="1" x14ac:dyDescent="0.3">
      <c r="A144" s="4"/>
      <c r="B144" s="4"/>
    </row>
    <row r="145" spans="1:2" ht="15.75" customHeight="1" x14ac:dyDescent="0.3">
      <c r="A145" s="4"/>
      <c r="B145" s="4"/>
    </row>
    <row r="146" spans="1:2" ht="15.75" customHeight="1" x14ac:dyDescent="0.3">
      <c r="A146" s="4"/>
      <c r="B146" s="4"/>
    </row>
    <row r="147" spans="1:2" ht="15.75" customHeight="1" x14ac:dyDescent="0.3">
      <c r="A147" s="4"/>
      <c r="B147" s="4"/>
    </row>
    <row r="148" spans="1:2" ht="15.75" customHeight="1" x14ac:dyDescent="0.3">
      <c r="A148" s="4"/>
      <c r="B148" s="4"/>
    </row>
    <row r="149" spans="1:2" ht="15.75" customHeight="1" x14ac:dyDescent="0.3">
      <c r="A149" s="4"/>
      <c r="B149" s="4"/>
    </row>
    <row r="150" spans="1:2" ht="15.75" customHeight="1" x14ac:dyDescent="0.3">
      <c r="A150" s="4"/>
      <c r="B150" s="4"/>
    </row>
    <row r="151" spans="1:2" ht="15.75" customHeight="1" x14ac:dyDescent="0.3">
      <c r="A151" s="4"/>
      <c r="B151" s="4"/>
    </row>
    <row r="152" spans="1:2" ht="15.75" customHeight="1" x14ac:dyDescent="0.3">
      <c r="A152" s="4"/>
      <c r="B152" s="4"/>
    </row>
    <row r="153" spans="1:2" ht="15.75" customHeight="1" x14ac:dyDescent="0.3">
      <c r="A153" s="4"/>
      <c r="B153" s="4"/>
    </row>
    <row r="154" spans="1:2" ht="15.75" customHeight="1" x14ac:dyDescent="0.3">
      <c r="A154" s="4"/>
      <c r="B154" s="4"/>
    </row>
    <row r="155" spans="1:2" ht="15.75" customHeight="1" x14ac:dyDescent="0.3">
      <c r="A155" s="4"/>
      <c r="B155" s="4"/>
    </row>
    <row r="156" spans="1:2" ht="15.75" customHeight="1" x14ac:dyDescent="0.3">
      <c r="A156" s="4"/>
      <c r="B156" s="4"/>
    </row>
    <row r="157" spans="1:2" ht="15.75" customHeight="1" x14ac:dyDescent="0.3">
      <c r="A157" s="4"/>
      <c r="B157" s="4"/>
    </row>
    <row r="158" spans="1:2" ht="15.75" customHeight="1" x14ac:dyDescent="0.3">
      <c r="A158" s="4"/>
      <c r="B158" s="4"/>
    </row>
    <row r="159" spans="1:2" ht="15.75" customHeight="1" x14ac:dyDescent="0.3">
      <c r="A159" s="4"/>
      <c r="B159" s="4"/>
    </row>
    <row r="160" spans="1:2" ht="15.75" customHeight="1" x14ac:dyDescent="0.3">
      <c r="A160" s="4"/>
      <c r="B160" s="4"/>
    </row>
    <row r="161" spans="1:2" ht="15.75" customHeight="1" x14ac:dyDescent="0.3">
      <c r="A161" s="4"/>
      <c r="B161" s="4"/>
    </row>
    <row r="162" spans="1:2" ht="15.75" customHeight="1" x14ac:dyDescent="0.3">
      <c r="A162" s="4"/>
      <c r="B162" s="4"/>
    </row>
    <row r="163" spans="1:2" ht="15.75" customHeight="1" x14ac:dyDescent="0.3">
      <c r="A163" s="4"/>
      <c r="B163" s="4"/>
    </row>
    <row r="164" spans="1:2" ht="15.75" customHeight="1" x14ac:dyDescent="0.3">
      <c r="A164" s="4"/>
      <c r="B164" s="4"/>
    </row>
    <row r="165" spans="1:2" ht="15.75" customHeight="1" x14ac:dyDescent="0.3">
      <c r="A165" s="4"/>
      <c r="B165" s="4"/>
    </row>
    <row r="166" spans="1:2" ht="15.75" customHeight="1" x14ac:dyDescent="0.3">
      <c r="A166" s="4"/>
      <c r="B166" s="4"/>
    </row>
    <row r="167" spans="1:2" ht="15.75" customHeight="1" x14ac:dyDescent="0.3">
      <c r="A167" s="4"/>
      <c r="B167" s="4"/>
    </row>
    <row r="168" spans="1:2" ht="15.75" customHeight="1" x14ac:dyDescent="0.3">
      <c r="A168" s="4"/>
      <c r="B168" s="4"/>
    </row>
    <row r="169" spans="1:2" ht="15.75" customHeight="1" x14ac:dyDescent="0.3">
      <c r="A169" s="4"/>
      <c r="B169" s="4"/>
    </row>
    <row r="170" spans="1:2" ht="15.75" customHeight="1" x14ac:dyDescent="0.3">
      <c r="A170" s="4"/>
      <c r="B170" s="4"/>
    </row>
    <row r="171" spans="1:2" ht="15.75" customHeight="1" x14ac:dyDescent="0.3">
      <c r="A171" s="4"/>
      <c r="B171" s="4"/>
    </row>
    <row r="172" spans="1:2" ht="15.75" customHeight="1" x14ac:dyDescent="0.3">
      <c r="A172" s="4"/>
      <c r="B172" s="4"/>
    </row>
    <row r="173" spans="1:2" ht="15.75" customHeight="1" x14ac:dyDescent="0.3">
      <c r="A173" s="4"/>
      <c r="B173" s="4"/>
    </row>
    <row r="174" spans="1:2" ht="15.75" customHeight="1" x14ac:dyDescent="0.3">
      <c r="A174" s="4"/>
      <c r="B174" s="4"/>
    </row>
    <row r="175" spans="1:2" ht="15.75" customHeight="1" x14ac:dyDescent="0.3">
      <c r="A175" s="4"/>
      <c r="B175" s="4"/>
    </row>
    <row r="176" spans="1:2" ht="15.75" customHeight="1" x14ac:dyDescent="0.3">
      <c r="A176" s="4"/>
      <c r="B176" s="4"/>
    </row>
    <row r="177" spans="1:2" ht="15.75" customHeight="1" x14ac:dyDescent="0.3">
      <c r="A177" s="4"/>
      <c r="B177" s="4"/>
    </row>
    <row r="178" spans="1:2" ht="15.75" customHeight="1" x14ac:dyDescent="0.3">
      <c r="A178" s="4"/>
      <c r="B178" s="4"/>
    </row>
    <row r="179" spans="1:2" ht="15.75" customHeight="1" x14ac:dyDescent="0.3">
      <c r="A179" s="4"/>
      <c r="B179" s="4"/>
    </row>
    <row r="180" spans="1:2" ht="15.75" customHeight="1" x14ac:dyDescent="0.3">
      <c r="A180" s="4"/>
      <c r="B180" s="4"/>
    </row>
    <row r="181" spans="1:2" ht="15.75" customHeight="1" x14ac:dyDescent="0.3">
      <c r="A181" s="4"/>
      <c r="B181" s="4"/>
    </row>
    <row r="182" spans="1:2" ht="15.75" customHeight="1" x14ac:dyDescent="0.3">
      <c r="A182" s="4"/>
      <c r="B182" s="4"/>
    </row>
    <row r="183" spans="1:2" ht="15.75" customHeight="1" x14ac:dyDescent="0.3">
      <c r="A183" s="4"/>
      <c r="B183" s="4"/>
    </row>
    <row r="184" spans="1:2" ht="15.75" customHeight="1" x14ac:dyDescent="0.3">
      <c r="A184" s="4"/>
      <c r="B184" s="4"/>
    </row>
    <row r="185" spans="1:2" ht="15.75" customHeight="1" x14ac:dyDescent="0.3">
      <c r="A185" s="4"/>
      <c r="B185" s="4"/>
    </row>
    <row r="186" spans="1:2" ht="15.75" customHeight="1" x14ac:dyDescent="0.3">
      <c r="A186" s="4"/>
      <c r="B186" s="4"/>
    </row>
    <row r="187" spans="1:2" ht="15.75" customHeight="1" x14ac:dyDescent="0.3">
      <c r="A187" s="4"/>
      <c r="B187" s="4"/>
    </row>
    <row r="188" spans="1:2" ht="15.75" customHeight="1" x14ac:dyDescent="0.3">
      <c r="A188" s="4"/>
      <c r="B188" s="4"/>
    </row>
    <row r="189" spans="1:2" ht="15.75" customHeight="1" x14ac:dyDescent="0.3">
      <c r="A189" s="4"/>
      <c r="B189" s="4"/>
    </row>
    <row r="190" spans="1:2" ht="15.75" customHeight="1" x14ac:dyDescent="0.3">
      <c r="A190" s="4"/>
      <c r="B190" s="4"/>
    </row>
    <row r="191" spans="1:2" ht="15.75" customHeight="1" x14ac:dyDescent="0.3">
      <c r="A191" s="4"/>
      <c r="B191" s="4"/>
    </row>
    <row r="192" spans="1:2" ht="15.75" customHeight="1" x14ac:dyDescent="0.3">
      <c r="A192" s="4"/>
      <c r="B192" s="4"/>
    </row>
    <row r="193" spans="1:2" ht="15.75" customHeight="1" x14ac:dyDescent="0.3">
      <c r="A193" s="4"/>
      <c r="B193" s="4"/>
    </row>
    <row r="194" spans="1:2" ht="15.75" customHeight="1" x14ac:dyDescent="0.3">
      <c r="A194" s="4"/>
      <c r="B194" s="4"/>
    </row>
    <row r="195" spans="1:2" ht="15.75" customHeight="1" x14ac:dyDescent="0.3">
      <c r="A195" s="4"/>
      <c r="B195" s="4"/>
    </row>
    <row r="196" spans="1:2" ht="15.75" customHeight="1" x14ac:dyDescent="0.3">
      <c r="A196" s="4"/>
      <c r="B196" s="4"/>
    </row>
    <row r="197" spans="1:2" ht="15.75" customHeight="1" x14ac:dyDescent="0.3">
      <c r="A197" s="4"/>
      <c r="B197" s="4"/>
    </row>
    <row r="198" spans="1:2" ht="15.75" customHeight="1" x14ac:dyDescent="0.3">
      <c r="A198" s="4"/>
      <c r="B198" s="4"/>
    </row>
    <row r="199" spans="1:2" ht="15.75" customHeight="1" x14ac:dyDescent="0.3">
      <c r="A199" s="4"/>
      <c r="B199" s="4"/>
    </row>
    <row r="200" spans="1:2" ht="15.75" customHeight="1" x14ac:dyDescent="0.3">
      <c r="A200" s="4"/>
      <c r="B200" s="4"/>
    </row>
    <row r="201" spans="1:2" ht="15.75" customHeight="1" x14ac:dyDescent="0.3">
      <c r="A201" s="4"/>
      <c r="B201" s="4"/>
    </row>
    <row r="202" spans="1:2" ht="15.75" customHeight="1" x14ac:dyDescent="0.3">
      <c r="A202" s="4"/>
      <c r="B202" s="4"/>
    </row>
    <row r="203" spans="1:2" ht="15.75" customHeight="1" x14ac:dyDescent="0.3">
      <c r="A203" s="4"/>
      <c r="B203" s="4"/>
    </row>
    <row r="204" spans="1:2" ht="15.75" customHeight="1" x14ac:dyDescent="0.3">
      <c r="A204" s="4"/>
      <c r="B204" s="4"/>
    </row>
    <row r="205" spans="1:2" ht="15.75" customHeight="1" x14ac:dyDescent="0.3">
      <c r="A205" s="4"/>
      <c r="B205" s="4"/>
    </row>
    <row r="206" spans="1:2" ht="15.75" customHeight="1" x14ac:dyDescent="0.3">
      <c r="A206" s="4"/>
      <c r="B206" s="4"/>
    </row>
    <row r="207" spans="1:2" ht="15.75" customHeight="1" x14ac:dyDescent="0.3">
      <c r="A207" s="4"/>
      <c r="B207" s="4"/>
    </row>
    <row r="208" spans="1:2" ht="15.75" customHeight="1" x14ac:dyDescent="0.3">
      <c r="A208" s="4"/>
      <c r="B208" s="4"/>
    </row>
    <row r="209" spans="1:2" ht="15.75" customHeight="1" x14ac:dyDescent="0.3">
      <c r="A209" s="4"/>
      <c r="B209" s="4"/>
    </row>
    <row r="210" spans="1:2" ht="15.75" customHeight="1" x14ac:dyDescent="0.3">
      <c r="A210" s="4"/>
      <c r="B210" s="4"/>
    </row>
    <row r="211" spans="1:2" ht="15.75" customHeight="1" x14ac:dyDescent="0.3">
      <c r="A211" s="4"/>
      <c r="B211" s="4"/>
    </row>
    <row r="212" spans="1:2" ht="15.75" customHeight="1" x14ac:dyDescent="0.3">
      <c r="A212" s="4"/>
      <c r="B212" s="4"/>
    </row>
    <row r="213" spans="1:2" ht="15.75" customHeight="1" x14ac:dyDescent="0.3">
      <c r="A213" s="4"/>
      <c r="B213" s="4"/>
    </row>
    <row r="214" spans="1:2" ht="15.75" customHeight="1" x14ac:dyDescent="0.3">
      <c r="A214" s="4"/>
      <c r="B214" s="4"/>
    </row>
    <row r="215" spans="1:2" ht="15.75" customHeight="1" x14ac:dyDescent="0.3">
      <c r="A215" s="4"/>
      <c r="B215" s="4"/>
    </row>
    <row r="216" spans="1:2" ht="15.75" customHeight="1" x14ac:dyDescent="0.3">
      <c r="A216" s="4"/>
      <c r="B216" s="4"/>
    </row>
    <row r="217" spans="1:2" ht="15.75" customHeight="1" x14ac:dyDescent="0.3">
      <c r="A217" s="4"/>
      <c r="B217" s="4"/>
    </row>
    <row r="218" spans="1:2" ht="15.75" customHeight="1" x14ac:dyDescent="0.3">
      <c r="A218" s="4"/>
      <c r="B218" s="4"/>
    </row>
    <row r="219" spans="1:2" ht="15.75" customHeight="1" x14ac:dyDescent="0.3">
      <c r="A219" s="4"/>
      <c r="B219" s="4"/>
    </row>
    <row r="220" spans="1:2" ht="15.75" customHeight="1" x14ac:dyDescent="0.3">
      <c r="A220" s="4"/>
      <c r="B220" s="4"/>
    </row>
    <row r="221" spans="1:2" ht="15.75" customHeight="1" x14ac:dyDescent="0.3">
      <c r="A221" s="4"/>
      <c r="B221" s="4"/>
    </row>
    <row r="222" spans="1:2" ht="15.75" customHeight="1" x14ac:dyDescent="0.3">
      <c r="A222" s="4"/>
      <c r="B222" s="4"/>
    </row>
    <row r="223" spans="1:2" ht="15.75" customHeight="1" x14ac:dyDescent="0.3">
      <c r="A223" s="4"/>
      <c r="B223" s="4"/>
    </row>
    <row r="224" spans="1:2" ht="15.75" customHeight="1" x14ac:dyDescent="0.3">
      <c r="A224" s="4"/>
      <c r="B224" s="4"/>
    </row>
    <row r="225" spans="1:2" ht="15.75" customHeight="1" x14ac:dyDescent="0.3">
      <c r="A225" s="4"/>
      <c r="B225" s="4"/>
    </row>
    <row r="226" spans="1:2" ht="15.75" customHeight="1" x14ac:dyDescent="0.3">
      <c r="A226" s="4"/>
      <c r="B226" s="4"/>
    </row>
    <row r="227" spans="1:2" ht="15.75" customHeight="1" x14ac:dyDescent="0.3">
      <c r="A227" s="4"/>
      <c r="B227" s="4"/>
    </row>
    <row r="228" spans="1:2" ht="15.75" customHeight="1" x14ac:dyDescent="0.3">
      <c r="A228" s="4"/>
      <c r="B228" s="4"/>
    </row>
    <row r="229" spans="1:2" ht="15.75" customHeight="1" x14ac:dyDescent="0.3">
      <c r="A229" s="4"/>
      <c r="B229" s="4"/>
    </row>
    <row r="230" spans="1:2" ht="15.75" customHeight="1" x14ac:dyDescent="0.3">
      <c r="A230" s="4"/>
      <c r="B230" s="4"/>
    </row>
    <row r="231" spans="1:2" ht="15.75" customHeight="1" x14ac:dyDescent="0.3">
      <c r="A231" s="4"/>
      <c r="B231" s="4"/>
    </row>
    <row r="232" spans="1:2" ht="15.75" customHeight="1" x14ac:dyDescent="0.3">
      <c r="A232" s="4"/>
      <c r="B232" s="4"/>
    </row>
    <row r="233" spans="1:2" ht="15.75" customHeight="1" x14ac:dyDescent="0.3">
      <c r="A233" s="4"/>
      <c r="B233" s="4"/>
    </row>
    <row r="234" spans="1:2" ht="15.75" customHeight="1" x14ac:dyDescent="0.3">
      <c r="A234" s="4"/>
      <c r="B234" s="4"/>
    </row>
    <row r="235" spans="1:2" ht="15.75" customHeight="1" x14ac:dyDescent="0.3">
      <c r="A235" s="4"/>
      <c r="B235" s="4"/>
    </row>
    <row r="236" spans="1:2" ht="15.75" customHeight="1" x14ac:dyDescent="0.3">
      <c r="A236" s="4"/>
      <c r="B236" s="4"/>
    </row>
    <row r="237" spans="1:2" ht="15.75" customHeight="1" x14ac:dyDescent="0.3">
      <c r="A237" s="4"/>
      <c r="B237" s="4"/>
    </row>
    <row r="238" spans="1:2" ht="15.75" customHeight="1" x14ac:dyDescent="0.3">
      <c r="A238" s="4"/>
      <c r="B238" s="4"/>
    </row>
    <row r="239" spans="1:2" ht="15.75" customHeight="1" x14ac:dyDescent="0.3">
      <c r="A239" s="4"/>
      <c r="B239" s="4"/>
    </row>
    <row r="240" spans="1:2" ht="15.75" customHeight="1" x14ac:dyDescent="0.3">
      <c r="A240" s="4"/>
      <c r="B240" s="4"/>
    </row>
    <row r="241" spans="1:2" ht="15.75" customHeight="1" x14ac:dyDescent="0.3">
      <c r="A241" s="4"/>
      <c r="B241" s="4"/>
    </row>
    <row r="242" spans="1:2" ht="15.75" customHeight="1" x14ac:dyDescent="0.3">
      <c r="A242" s="4"/>
      <c r="B242" s="4"/>
    </row>
    <row r="243" spans="1:2" ht="15.75" customHeight="1" x14ac:dyDescent="0.3">
      <c r="A243" s="4"/>
      <c r="B243" s="4"/>
    </row>
    <row r="244" spans="1:2" ht="15.75" customHeight="1" x14ac:dyDescent="0.3">
      <c r="A244" s="4"/>
      <c r="B244" s="4"/>
    </row>
    <row r="245" spans="1:2" ht="15.75" customHeight="1" x14ac:dyDescent="0.3">
      <c r="A245" s="4"/>
      <c r="B245" s="4"/>
    </row>
    <row r="246" spans="1:2" ht="15.75" customHeight="1" x14ac:dyDescent="0.3">
      <c r="A246" s="4"/>
      <c r="B246" s="4"/>
    </row>
    <row r="247" spans="1:2" ht="15.75" customHeight="1" x14ac:dyDescent="0.3">
      <c r="A247" s="4"/>
      <c r="B247" s="4"/>
    </row>
    <row r="248" spans="1:2" ht="15.75" customHeight="1" x14ac:dyDescent="0.3">
      <c r="A248" s="4"/>
      <c r="B248" s="4"/>
    </row>
    <row r="249" spans="1:2" ht="15.75" customHeight="1" x14ac:dyDescent="0.3">
      <c r="A249" s="4"/>
      <c r="B249" s="4"/>
    </row>
    <row r="250" spans="1:2" ht="15.75" customHeight="1" x14ac:dyDescent="0.3">
      <c r="A250" s="4"/>
      <c r="B250" s="4"/>
    </row>
    <row r="251" spans="1:2" ht="15.75" customHeight="1" x14ac:dyDescent="0.3">
      <c r="A251" s="4"/>
      <c r="B251" s="4"/>
    </row>
    <row r="252" spans="1:2" ht="15.75" customHeight="1" x14ac:dyDescent="0.3">
      <c r="A252" s="4"/>
      <c r="B252" s="4"/>
    </row>
    <row r="253" spans="1:2" ht="15.75" customHeight="1" x14ac:dyDescent="0.3">
      <c r="A253" s="4"/>
      <c r="B253" s="4"/>
    </row>
    <row r="254" spans="1:2" ht="15.75" customHeight="1" x14ac:dyDescent="0.3">
      <c r="A254" s="4"/>
      <c r="B254" s="4"/>
    </row>
    <row r="255" spans="1:2" ht="15.75" customHeight="1" x14ac:dyDescent="0.3">
      <c r="A255" s="4"/>
      <c r="B255" s="4"/>
    </row>
    <row r="256" spans="1:2" ht="15.75" customHeight="1" x14ac:dyDescent="0.3">
      <c r="A256" s="4"/>
      <c r="B256" s="4"/>
    </row>
    <row r="257" spans="1:2" ht="15.75" customHeight="1" x14ac:dyDescent="0.3">
      <c r="A257" s="4"/>
      <c r="B257" s="4"/>
    </row>
    <row r="258" spans="1:2" ht="15.75" customHeight="1" x14ac:dyDescent="0.3">
      <c r="A258" s="4"/>
      <c r="B258" s="4"/>
    </row>
    <row r="259" spans="1:2" ht="15.75" customHeight="1" x14ac:dyDescent="0.3">
      <c r="A259" s="4"/>
      <c r="B259" s="4"/>
    </row>
    <row r="260" spans="1:2" ht="15.75" customHeight="1" x14ac:dyDescent="0.3">
      <c r="A260" s="4"/>
      <c r="B260" s="4"/>
    </row>
    <row r="261" spans="1:2" ht="15.75" customHeight="1" x14ac:dyDescent="0.3">
      <c r="A261" s="4"/>
      <c r="B261" s="4"/>
    </row>
    <row r="262" spans="1:2" ht="15.75" customHeight="1" x14ac:dyDescent="0.3">
      <c r="A262" s="4"/>
      <c r="B262" s="4"/>
    </row>
    <row r="263" spans="1:2" ht="15.75" customHeight="1" x14ac:dyDescent="0.3">
      <c r="A263" s="4"/>
      <c r="B263" s="4"/>
    </row>
    <row r="264" spans="1:2" ht="15.75" customHeight="1" x14ac:dyDescent="0.3">
      <c r="A264" s="4"/>
      <c r="B264" s="4"/>
    </row>
    <row r="265" spans="1:2" ht="15.75" customHeight="1" x14ac:dyDescent="0.3">
      <c r="A265" s="4"/>
      <c r="B265" s="4"/>
    </row>
    <row r="266" spans="1:2" ht="15.75" customHeight="1" x14ac:dyDescent="0.3">
      <c r="A266" s="4"/>
      <c r="B266" s="4"/>
    </row>
    <row r="267" spans="1:2" ht="15.75" customHeight="1" x14ac:dyDescent="0.3">
      <c r="A267" s="4"/>
      <c r="B267" s="4"/>
    </row>
    <row r="268" spans="1:2" ht="15.75" customHeight="1" x14ac:dyDescent="0.3">
      <c r="A268" s="4"/>
      <c r="B268" s="4"/>
    </row>
    <row r="269" spans="1:2" ht="15.75" customHeight="1" x14ac:dyDescent="0.3">
      <c r="A269" s="4"/>
      <c r="B269" s="4"/>
    </row>
    <row r="270" spans="1:2" ht="15.75" customHeight="1" x14ac:dyDescent="0.3">
      <c r="A270" s="4"/>
      <c r="B270" s="4"/>
    </row>
    <row r="271" spans="1:2" ht="15.75" customHeight="1" x14ac:dyDescent="0.3">
      <c r="A271" s="4"/>
      <c r="B271" s="4"/>
    </row>
    <row r="272" spans="1:2" ht="15.75" customHeight="1" x14ac:dyDescent="0.3">
      <c r="A272" s="4"/>
      <c r="B272" s="4"/>
    </row>
    <row r="273" spans="1:2" ht="15.75" customHeight="1" x14ac:dyDescent="0.3">
      <c r="A273" s="4"/>
      <c r="B273" s="4"/>
    </row>
    <row r="274" spans="1:2" ht="15.75" customHeight="1" x14ac:dyDescent="0.3">
      <c r="A274" s="4"/>
      <c r="B274" s="4"/>
    </row>
    <row r="275" spans="1:2" ht="15.75" customHeight="1" x14ac:dyDescent="0.3">
      <c r="A275" s="4"/>
      <c r="B275" s="4"/>
    </row>
    <row r="276" spans="1:2" ht="15.75" customHeight="1" x14ac:dyDescent="0.3">
      <c r="A276" s="4"/>
      <c r="B276" s="4"/>
    </row>
    <row r="277" spans="1:2" ht="15.75" customHeight="1" x14ac:dyDescent="0.3">
      <c r="A277" s="4"/>
      <c r="B277" s="4"/>
    </row>
    <row r="278" spans="1:2" ht="15.75" customHeight="1" x14ac:dyDescent="0.3">
      <c r="A278" s="4"/>
      <c r="B278" s="4"/>
    </row>
    <row r="279" spans="1:2" ht="15.75" customHeight="1" x14ac:dyDescent="0.3">
      <c r="A279" s="4"/>
      <c r="B279" s="4"/>
    </row>
    <row r="280" spans="1:2" ht="15.75" customHeight="1" x14ac:dyDescent="0.3">
      <c r="A280" s="4"/>
      <c r="B280" s="4"/>
    </row>
    <row r="281" spans="1:2" ht="15.75" customHeight="1" x14ac:dyDescent="0.3">
      <c r="A281" s="4"/>
      <c r="B281" s="4"/>
    </row>
    <row r="282" spans="1:2" ht="15.75" customHeight="1" x14ac:dyDescent="0.3">
      <c r="A282" s="4"/>
      <c r="B282" s="4"/>
    </row>
    <row r="283" spans="1:2" ht="15.75" customHeight="1" x14ac:dyDescent="0.3">
      <c r="A283" s="4"/>
      <c r="B283" s="4"/>
    </row>
    <row r="284" spans="1:2" ht="15.75" customHeight="1" x14ac:dyDescent="0.3">
      <c r="A284" s="4"/>
      <c r="B284" s="4"/>
    </row>
    <row r="285" spans="1:2" ht="15.75" customHeight="1" x14ac:dyDescent="0.3">
      <c r="A285" s="4"/>
      <c r="B285" s="4"/>
    </row>
    <row r="286" spans="1:2" ht="15.75" customHeight="1" x14ac:dyDescent="0.3">
      <c r="A286" s="4"/>
      <c r="B286" s="4"/>
    </row>
    <row r="287" spans="1:2" ht="15.75" customHeight="1" x14ac:dyDescent="0.3">
      <c r="A287" s="4"/>
      <c r="B287" s="4"/>
    </row>
    <row r="288" spans="1:2" ht="15.75" customHeight="1" x14ac:dyDescent="0.3">
      <c r="A288" s="4"/>
      <c r="B288" s="4"/>
    </row>
    <row r="289" spans="1:2" ht="15.75" customHeight="1" x14ac:dyDescent="0.3">
      <c r="A289" s="4"/>
      <c r="B289" s="4"/>
    </row>
    <row r="290" spans="1:2" ht="15.75" customHeight="1" x14ac:dyDescent="0.3">
      <c r="A290" s="4"/>
      <c r="B290" s="4"/>
    </row>
    <row r="291" spans="1:2" ht="15.75" customHeight="1" x14ac:dyDescent="0.3">
      <c r="A291" s="4"/>
      <c r="B291" s="4"/>
    </row>
    <row r="292" spans="1:2" ht="15.75" customHeight="1" x14ac:dyDescent="0.3">
      <c r="A292" s="4"/>
      <c r="B292" s="4"/>
    </row>
    <row r="293" spans="1:2" ht="15.75" customHeight="1" x14ac:dyDescent="0.3">
      <c r="A293" s="4"/>
      <c r="B293" s="4"/>
    </row>
    <row r="294" spans="1:2" ht="15.75" customHeight="1" x14ac:dyDescent="0.3">
      <c r="A294" s="4"/>
      <c r="B294" s="4"/>
    </row>
    <row r="295" spans="1:2" ht="15.75" customHeight="1" x14ac:dyDescent="0.3">
      <c r="A295" s="4"/>
      <c r="B295" s="4"/>
    </row>
    <row r="296" spans="1:2" ht="15.75" customHeight="1" x14ac:dyDescent="0.3">
      <c r="A296" s="4"/>
      <c r="B296" s="4"/>
    </row>
    <row r="297" spans="1:2" ht="15.75" customHeight="1" x14ac:dyDescent="0.3">
      <c r="A297" s="4"/>
      <c r="B297" s="4"/>
    </row>
    <row r="298" spans="1:2" ht="15.75" customHeight="1" x14ac:dyDescent="0.3">
      <c r="A298" s="4"/>
      <c r="B298" s="4"/>
    </row>
    <row r="299" spans="1:2" ht="15.75" customHeight="1" x14ac:dyDescent="0.3">
      <c r="A299" s="4"/>
      <c r="B299" s="4"/>
    </row>
    <row r="300" spans="1:2" ht="15.75" customHeight="1" x14ac:dyDescent="0.3">
      <c r="A300" s="4"/>
      <c r="B300" s="4"/>
    </row>
    <row r="301" spans="1:2" ht="15.75" customHeight="1" x14ac:dyDescent="0.3">
      <c r="A301" s="4"/>
      <c r="B301" s="4"/>
    </row>
    <row r="302" spans="1:2" ht="15.75" customHeight="1" x14ac:dyDescent="0.3">
      <c r="A302" s="4"/>
      <c r="B302" s="4"/>
    </row>
    <row r="303" spans="1:2" ht="15.75" customHeight="1" x14ac:dyDescent="0.3">
      <c r="A303" s="4"/>
      <c r="B303" s="4"/>
    </row>
    <row r="304" spans="1:2" ht="15.75" customHeight="1" x14ac:dyDescent="0.3">
      <c r="A304" s="4"/>
      <c r="B304" s="4"/>
    </row>
    <row r="305" spans="1:2" ht="15.75" customHeight="1" x14ac:dyDescent="0.3">
      <c r="A305" s="4"/>
      <c r="B305" s="4"/>
    </row>
    <row r="306" spans="1:2" ht="15.75" customHeight="1" x14ac:dyDescent="0.3">
      <c r="A306" s="4"/>
      <c r="B306" s="4"/>
    </row>
    <row r="307" spans="1:2" ht="15.75" customHeight="1" x14ac:dyDescent="0.3">
      <c r="A307" s="4"/>
      <c r="B307" s="4"/>
    </row>
    <row r="308" spans="1:2" ht="15.75" customHeight="1" x14ac:dyDescent="0.3">
      <c r="A308" s="4"/>
      <c r="B308" s="4"/>
    </row>
    <row r="309" spans="1:2" ht="15.75" customHeight="1" x14ac:dyDescent="0.3">
      <c r="A309" s="4"/>
      <c r="B309" s="4"/>
    </row>
    <row r="310" spans="1:2" ht="15.75" customHeight="1" x14ac:dyDescent="0.3">
      <c r="A310" s="4"/>
      <c r="B310" s="4"/>
    </row>
    <row r="311" spans="1:2" ht="15.75" customHeight="1" x14ac:dyDescent="0.3">
      <c r="A311" s="4"/>
      <c r="B311" s="4"/>
    </row>
    <row r="312" spans="1:2" ht="15.75" customHeight="1" x14ac:dyDescent="0.3">
      <c r="A312" s="4"/>
      <c r="B312" s="4"/>
    </row>
    <row r="313" spans="1:2" ht="15.75" customHeight="1" x14ac:dyDescent="0.3">
      <c r="A313" s="4"/>
      <c r="B313" s="4"/>
    </row>
    <row r="314" spans="1:2" ht="15.75" customHeight="1" x14ac:dyDescent="0.3">
      <c r="A314" s="4"/>
      <c r="B314" s="4"/>
    </row>
    <row r="315" spans="1:2" ht="15.75" customHeight="1" x14ac:dyDescent="0.3">
      <c r="A315" s="4"/>
      <c r="B315" s="4"/>
    </row>
    <row r="316" spans="1:2" ht="15.75" customHeight="1" x14ac:dyDescent="0.3">
      <c r="A316" s="4"/>
      <c r="B316" s="4"/>
    </row>
    <row r="317" spans="1:2" ht="15.75" customHeight="1" x14ac:dyDescent="0.3">
      <c r="A317" s="4"/>
      <c r="B317" s="4"/>
    </row>
    <row r="318" spans="1:2" ht="15.75" customHeight="1" x14ac:dyDescent="0.3">
      <c r="A318" s="4"/>
      <c r="B318" s="4"/>
    </row>
    <row r="319" spans="1:2" ht="15.75" customHeight="1" x14ac:dyDescent="0.3">
      <c r="A319" s="4"/>
      <c r="B319" s="4"/>
    </row>
    <row r="320" spans="1:2" ht="15.75" customHeight="1" x14ac:dyDescent="0.3">
      <c r="A320" s="4"/>
      <c r="B320" s="4"/>
    </row>
    <row r="321" spans="1:2" ht="15.75" customHeight="1" x14ac:dyDescent="0.3">
      <c r="A321" s="4"/>
      <c r="B321" s="4"/>
    </row>
    <row r="322" spans="1:2" ht="15.75" customHeight="1" x14ac:dyDescent="0.3">
      <c r="A322" s="4"/>
      <c r="B322" s="4"/>
    </row>
    <row r="323" spans="1:2" ht="15.75" customHeight="1" x14ac:dyDescent="0.3">
      <c r="A323" s="4"/>
      <c r="B323" s="4"/>
    </row>
    <row r="324" spans="1:2" ht="15.75" customHeight="1" x14ac:dyDescent="0.3">
      <c r="A324" s="4"/>
      <c r="B324" s="4"/>
    </row>
    <row r="325" spans="1:2" ht="15.75" customHeight="1" x14ac:dyDescent="0.3">
      <c r="A325" s="4"/>
      <c r="B325" s="4"/>
    </row>
    <row r="326" spans="1:2" ht="15.75" customHeight="1" x14ac:dyDescent="0.3">
      <c r="A326" s="4"/>
      <c r="B326" s="4"/>
    </row>
    <row r="327" spans="1:2" ht="15.75" customHeight="1" x14ac:dyDescent="0.3">
      <c r="A327" s="4"/>
      <c r="B327" s="4"/>
    </row>
    <row r="328" spans="1:2" ht="15.75" customHeight="1" x14ac:dyDescent="0.3">
      <c r="A328" s="4"/>
      <c r="B328" s="4"/>
    </row>
    <row r="329" spans="1:2" ht="15.75" customHeight="1" x14ac:dyDescent="0.3">
      <c r="A329" s="4"/>
      <c r="B329" s="4"/>
    </row>
    <row r="330" spans="1:2" ht="15.75" customHeight="1" x14ac:dyDescent="0.3">
      <c r="A330" s="4"/>
      <c r="B330" s="4"/>
    </row>
    <row r="331" spans="1:2" ht="15.75" customHeight="1" x14ac:dyDescent="0.3">
      <c r="A331" s="4"/>
      <c r="B331" s="4"/>
    </row>
    <row r="332" spans="1:2" ht="15.75" customHeight="1" x14ac:dyDescent="0.3">
      <c r="A332" s="4"/>
      <c r="B332" s="4"/>
    </row>
    <row r="333" spans="1:2" ht="15.75" customHeight="1" x14ac:dyDescent="0.3">
      <c r="A333" s="4"/>
      <c r="B333" s="4"/>
    </row>
    <row r="334" spans="1:2" ht="15.75" customHeight="1" x14ac:dyDescent="0.3">
      <c r="A334" s="4"/>
      <c r="B334" s="4"/>
    </row>
    <row r="335" spans="1:2" ht="15.75" customHeight="1" x14ac:dyDescent="0.3">
      <c r="A335" s="4"/>
      <c r="B335" s="4"/>
    </row>
    <row r="336" spans="1:2" ht="15.75" customHeight="1" x14ac:dyDescent="0.3">
      <c r="A336" s="4"/>
      <c r="B336" s="4"/>
    </row>
    <row r="337" spans="1:2" ht="15.75" customHeight="1" x14ac:dyDescent="0.3">
      <c r="A337" s="4"/>
      <c r="B337" s="4"/>
    </row>
    <row r="338" spans="1:2" ht="15.75" customHeight="1" x14ac:dyDescent="0.3">
      <c r="A338" s="4"/>
      <c r="B338" s="4"/>
    </row>
    <row r="339" spans="1:2" ht="15.75" customHeight="1" x14ac:dyDescent="0.3">
      <c r="A339" s="4"/>
      <c r="B339" s="4"/>
    </row>
    <row r="340" spans="1:2" ht="15.75" customHeight="1" x14ac:dyDescent="0.3">
      <c r="A340" s="4"/>
      <c r="B340" s="4"/>
    </row>
    <row r="341" spans="1:2" ht="15.75" customHeight="1" x14ac:dyDescent="0.3">
      <c r="A341" s="4"/>
      <c r="B341" s="4"/>
    </row>
    <row r="342" spans="1:2" ht="15.75" customHeight="1" x14ac:dyDescent="0.3">
      <c r="A342" s="4"/>
      <c r="B342" s="4"/>
    </row>
    <row r="343" spans="1:2" ht="15.75" customHeight="1" x14ac:dyDescent="0.3">
      <c r="A343" s="4"/>
      <c r="B343" s="4"/>
    </row>
    <row r="344" spans="1:2" ht="15.75" customHeight="1" x14ac:dyDescent="0.3">
      <c r="A344" s="4"/>
      <c r="B344" s="4"/>
    </row>
    <row r="345" spans="1:2" ht="15.75" customHeight="1" x14ac:dyDescent="0.3">
      <c r="A345" s="4"/>
      <c r="B345" s="4"/>
    </row>
    <row r="346" spans="1:2" ht="15.75" customHeight="1" x14ac:dyDescent="0.3">
      <c r="A346" s="4"/>
      <c r="B346" s="4"/>
    </row>
    <row r="347" spans="1:2" ht="15.75" customHeight="1" x14ac:dyDescent="0.3">
      <c r="A347" s="4"/>
      <c r="B347" s="4"/>
    </row>
    <row r="348" spans="1:2" ht="15.75" customHeight="1" x14ac:dyDescent="0.3">
      <c r="A348" s="4"/>
      <c r="B348" s="4"/>
    </row>
    <row r="349" spans="1:2" ht="15.75" customHeight="1" x14ac:dyDescent="0.3">
      <c r="A349" s="4"/>
      <c r="B349" s="4"/>
    </row>
    <row r="350" spans="1:2" ht="15.75" customHeight="1" x14ac:dyDescent="0.3">
      <c r="A350" s="4"/>
      <c r="B350" s="4"/>
    </row>
    <row r="351" spans="1:2" ht="15.75" customHeight="1" x14ac:dyDescent="0.3">
      <c r="A351" s="4"/>
      <c r="B351" s="4"/>
    </row>
    <row r="352" spans="1:2" ht="15.75" customHeight="1" x14ac:dyDescent="0.3">
      <c r="A352" s="4"/>
      <c r="B352" s="4"/>
    </row>
    <row r="353" spans="1:2" ht="15.75" customHeight="1" x14ac:dyDescent="0.3">
      <c r="A353" s="4"/>
      <c r="B353" s="4"/>
    </row>
    <row r="354" spans="1:2" ht="15.75" customHeight="1" x14ac:dyDescent="0.3">
      <c r="A354" s="4"/>
      <c r="B354" s="4"/>
    </row>
    <row r="355" spans="1:2" ht="15.75" customHeight="1" x14ac:dyDescent="0.3">
      <c r="A355" s="4"/>
      <c r="B355" s="4"/>
    </row>
    <row r="356" spans="1:2" ht="15.75" customHeight="1" x14ac:dyDescent="0.3">
      <c r="A356" s="4"/>
      <c r="B356" s="4"/>
    </row>
    <row r="357" spans="1:2" ht="15.75" customHeight="1" x14ac:dyDescent="0.3">
      <c r="A357" s="4"/>
      <c r="B357" s="4"/>
    </row>
    <row r="358" spans="1:2" ht="15.75" customHeight="1" x14ac:dyDescent="0.3">
      <c r="A358" s="4"/>
      <c r="B358" s="4"/>
    </row>
    <row r="359" spans="1:2" ht="15.75" customHeight="1" x14ac:dyDescent="0.3">
      <c r="A359" s="4"/>
      <c r="B359" s="4"/>
    </row>
    <row r="360" spans="1:2" ht="15.75" customHeight="1" x14ac:dyDescent="0.3">
      <c r="A360" s="4"/>
      <c r="B360" s="4"/>
    </row>
    <row r="361" spans="1:2" ht="15.75" customHeight="1" x14ac:dyDescent="0.3">
      <c r="A361" s="4"/>
      <c r="B361" s="4"/>
    </row>
    <row r="362" spans="1:2" ht="15.75" customHeight="1" x14ac:dyDescent="0.3">
      <c r="A362" s="4"/>
      <c r="B362" s="4"/>
    </row>
    <row r="363" spans="1:2" ht="15.75" customHeight="1" x14ac:dyDescent="0.3">
      <c r="A363" s="4"/>
      <c r="B363" s="4"/>
    </row>
    <row r="364" spans="1:2" ht="15.75" customHeight="1" x14ac:dyDescent="0.3">
      <c r="A364" s="4"/>
      <c r="B364" s="4"/>
    </row>
    <row r="365" spans="1:2" ht="15.75" customHeight="1" x14ac:dyDescent="0.3">
      <c r="A365" s="4"/>
      <c r="B365" s="4"/>
    </row>
    <row r="366" spans="1:2" ht="15.75" customHeight="1" x14ac:dyDescent="0.3">
      <c r="A366" s="4"/>
      <c r="B366" s="4"/>
    </row>
    <row r="367" spans="1:2" ht="15.75" customHeight="1" x14ac:dyDescent="0.3">
      <c r="A367" s="4"/>
      <c r="B367" s="4"/>
    </row>
    <row r="368" spans="1:2" ht="15.75" customHeight="1" x14ac:dyDescent="0.3">
      <c r="A368" s="4"/>
      <c r="B368" s="4"/>
    </row>
    <row r="369" spans="1:2" ht="15.75" customHeight="1" x14ac:dyDescent="0.3">
      <c r="A369" s="4"/>
      <c r="B369" s="4"/>
    </row>
    <row r="370" spans="1:2" ht="15.75" customHeight="1" x14ac:dyDescent="0.3">
      <c r="A370" s="4"/>
      <c r="B370" s="4"/>
    </row>
    <row r="371" spans="1:2" ht="15.75" customHeight="1" x14ac:dyDescent="0.3">
      <c r="A371" s="4"/>
      <c r="B371" s="4"/>
    </row>
    <row r="372" spans="1:2" ht="15.75" customHeight="1" x14ac:dyDescent="0.3">
      <c r="A372" s="4"/>
      <c r="B372" s="4"/>
    </row>
    <row r="373" spans="1:2" ht="15.75" customHeight="1" x14ac:dyDescent="0.3">
      <c r="A373" s="4"/>
      <c r="B373" s="4"/>
    </row>
    <row r="374" spans="1:2" ht="15.75" customHeight="1" x14ac:dyDescent="0.3">
      <c r="A374" s="4"/>
      <c r="B374" s="4"/>
    </row>
    <row r="375" spans="1:2" ht="15.75" customHeight="1" x14ac:dyDescent="0.3">
      <c r="A375" s="4"/>
      <c r="B375" s="4"/>
    </row>
    <row r="376" spans="1:2" ht="15.75" customHeight="1" x14ac:dyDescent="0.3">
      <c r="A376" s="4"/>
      <c r="B376" s="4"/>
    </row>
    <row r="377" spans="1:2" ht="15.75" customHeight="1" x14ac:dyDescent="0.3">
      <c r="A377" s="4"/>
      <c r="B377" s="4"/>
    </row>
    <row r="378" spans="1:2" ht="15.75" customHeight="1" x14ac:dyDescent="0.3">
      <c r="A378" s="4"/>
      <c r="B378" s="4"/>
    </row>
    <row r="379" spans="1:2" ht="15.75" customHeight="1" x14ac:dyDescent="0.3">
      <c r="A379" s="4"/>
      <c r="B379" s="4"/>
    </row>
    <row r="380" spans="1:2" ht="15.75" customHeight="1" x14ac:dyDescent="0.3">
      <c r="A380" s="4"/>
      <c r="B380" s="4"/>
    </row>
    <row r="381" spans="1:2" ht="15.75" customHeight="1" x14ac:dyDescent="0.3">
      <c r="A381" s="4"/>
      <c r="B381" s="4"/>
    </row>
    <row r="382" spans="1:2" ht="15.75" customHeight="1" x14ac:dyDescent="0.3">
      <c r="A382" s="4"/>
      <c r="B382" s="4"/>
    </row>
    <row r="383" spans="1:2" ht="15.75" customHeight="1" x14ac:dyDescent="0.3">
      <c r="A383" s="4"/>
      <c r="B383" s="4"/>
    </row>
    <row r="384" spans="1:2" ht="15.75" customHeight="1" x14ac:dyDescent="0.3">
      <c r="A384" s="4"/>
      <c r="B384" s="4"/>
    </row>
    <row r="385" spans="1:2" ht="15.75" customHeight="1" x14ac:dyDescent="0.3">
      <c r="A385" s="4"/>
      <c r="B385" s="4"/>
    </row>
    <row r="386" spans="1:2" ht="15.75" customHeight="1" x14ac:dyDescent="0.3">
      <c r="A386" s="4"/>
      <c r="B386" s="4"/>
    </row>
    <row r="387" spans="1:2" ht="15.75" customHeight="1" x14ac:dyDescent="0.3">
      <c r="A387" s="4"/>
      <c r="B387" s="4"/>
    </row>
    <row r="388" spans="1:2" ht="15.75" customHeight="1" x14ac:dyDescent="0.3">
      <c r="A388" s="4"/>
      <c r="B388" s="4"/>
    </row>
    <row r="389" spans="1:2" ht="15.75" customHeight="1" x14ac:dyDescent="0.3">
      <c r="A389" s="4"/>
      <c r="B389" s="4"/>
    </row>
    <row r="390" spans="1:2" ht="15.75" customHeight="1" x14ac:dyDescent="0.3">
      <c r="A390" s="4"/>
      <c r="B390" s="4"/>
    </row>
    <row r="391" spans="1:2" ht="15.75" customHeight="1" x14ac:dyDescent="0.3">
      <c r="A391" s="4"/>
      <c r="B391" s="4"/>
    </row>
    <row r="392" spans="1:2" ht="15.75" customHeight="1" x14ac:dyDescent="0.3">
      <c r="A392" s="4"/>
      <c r="B392" s="4"/>
    </row>
    <row r="393" spans="1:2" ht="15.75" customHeight="1" x14ac:dyDescent="0.3">
      <c r="A393" s="4"/>
      <c r="B393" s="4"/>
    </row>
    <row r="394" spans="1:2" ht="15.75" customHeight="1" x14ac:dyDescent="0.3">
      <c r="A394" s="4"/>
      <c r="B394" s="4"/>
    </row>
    <row r="395" spans="1:2" ht="15.75" customHeight="1" x14ac:dyDescent="0.3">
      <c r="A395" s="4"/>
      <c r="B395" s="4"/>
    </row>
    <row r="396" spans="1:2" ht="15.75" customHeight="1" x14ac:dyDescent="0.3">
      <c r="A396" s="4"/>
      <c r="B396" s="4"/>
    </row>
    <row r="397" spans="1:2" ht="15.75" customHeight="1" x14ac:dyDescent="0.3">
      <c r="A397" s="4"/>
      <c r="B397" s="4"/>
    </row>
    <row r="398" spans="1:2" ht="15.75" customHeight="1" x14ac:dyDescent="0.3">
      <c r="A398" s="4"/>
      <c r="B398" s="4"/>
    </row>
    <row r="399" spans="1:2" ht="15.75" customHeight="1" x14ac:dyDescent="0.3">
      <c r="A399" s="4"/>
      <c r="B399" s="4"/>
    </row>
    <row r="400" spans="1:2" ht="15.75" customHeight="1" x14ac:dyDescent="0.3">
      <c r="A400" s="4"/>
      <c r="B400" s="4"/>
    </row>
    <row r="401" spans="1:2" ht="15.75" customHeight="1" x14ac:dyDescent="0.3">
      <c r="A401" s="4"/>
      <c r="B401" s="4"/>
    </row>
    <row r="402" spans="1:2" ht="15.75" customHeight="1" x14ac:dyDescent="0.3">
      <c r="A402" s="4"/>
      <c r="B402" s="4"/>
    </row>
    <row r="403" spans="1:2" ht="15.75" customHeight="1" x14ac:dyDescent="0.3">
      <c r="A403" s="4"/>
      <c r="B403" s="4"/>
    </row>
    <row r="404" spans="1:2" ht="15.75" customHeight="1" x14ac:dyDescent="0.3">
      <c r="A404" s="4"/>
      <c r="B404" s="4"/>
    </row>
    <row r="405" spans="1:2" ht="15.75" customHeight="1" x14ac:dyDescent="0.3">
      <c r="A405" s="4"/>
      <c r="B405" s="4"/>
    </row>
    <row r="406" spans="1:2" ht="15.75" customHeight="1" x14ac:dyDescent="0.3">
      <c r="A406" s="4"/>
      <c r="B406" s="4"/>
    </row>
    <row r="407" spans="1:2" ht="15.75" customHeight="1" x14ac:dyDescent="0.3">
      <c r="A407" s="4"/>
      <c r="B407" s="4"/>
    </row>
    <row r="408" spans="1:2" ht="15.75" customHeight="1" x14ac:dyDescent="0.3">
      <c r="A408" s="4"/>
      <c r="B408" s="4"/>
    </row>
    <row r="409" spans="1:2" ht="15.75" customHeight="1" x14ac:dyDescent="0.3">
      <c r="A409" s="4"/>
      <c r="B409" s="4"/>
    </row>
    <row r="410" spans="1:2" ht="15.75" customHeight="1" x14ac:dyDescent="0.3">
      <c r="A410" s="4"/>
      <c r="B410" s="4"/>
    </row>
    <row r="411" spans="1:2" ht="15.75" customHeight="1" x14ac:dyDescent="0.3">
      <c r="A411" s="4"/>
      <c r="B411" s="4"/>
    </row>
    <row r="412" spans="1:2" ht="15.75" customHeight="1" x14ac:dyDescent="0.3">
      <c r="A412" s="4"/>
      <c r="B412" s="4"/>
    </row>
    <row r="413" spans="1:2" ht="15.75" customHeight="1" x14ac:dyDescent="0.3">
      <c r="A413" s="4"/>
      <c r="B413" s="4"/>
    </row>
    <row r="414" spans="1:2" ht="15.75" customHeight="1" x14ac:dyDescent="0.3">
      <c r="A414" s="4"/>
      <c r="B414" s="4"/>
    </row>
    <row r="415" spans="1:2" ht="15.75" customHeight="1" x14ac:dyDescent="0.3">
      <c r="A415" s="4"/>
      <c r="B415" s="4"/>
    </row>
    <row r="416" spans="1:2" ht="15.75" customHeight="1" x14ac:dyDescent="0.3">
      <c r="A416" s="4"/>
      <c r="B416" s="4"/>
    </row>
    <row r="417" spans="1:2" ht="15.75" customHeight="1" x14ac:dyDescent="0.3">
      <c r="A417" s="4"/>
      <c r="B417" s="4"/>
    </row>
    <row r="418" spans="1:2" ht="15.75" customHeight="1" x14ac:dyDescent="0.3">
      <c r="A418" s="4"/>
      <c r="B418" s="4"/>
    </row>
    <row r="419" spans="1:2" ht="15.75" customHeight="1" x14ac:dyDescent="0.3">
      <c r="A419" s="4"/>
      <c r="B419" s="4"/>
    </row>
    <row r="420" spans="1:2" ht="15.75" customHeight="1" x14ac:dyDescent="0.3">
      <c r="A420" s="4"/>
      <c r="B420" s="4"/>
    </row>
    <row r="421" spans="1:2" ht="15.75" customHeight="1" x14ac:dyDescent="0.3">
      <c r="A421" s="4"/>
      <c r="B421" s="4"/>
    </row>
    <row r="422" spans="1:2" ht="15.75" customHeight="1" x14ac:dyDescent="0.3">
      <c r="A422" s="4"/>
      <c r="B422" s="4"/>
    </row>
    <row r="423" spans="1:2" ht="15.75" customHeight="1" x14ac:dyDescent="0.3">
      <c r="A423" s="4"/>
      <c r="B423" s="4"/>
    </row>
    <row r="424" spans="1:2" ht="15.75" customHeight="1" x14ac:dyDescent="0.3">
      <c r="A424" s="4"/>
      <c r="B424" s="4"/>
    </row>
    <row r="425" spans="1:2" ht="15.75" customHeight="1" x14ac:dyDescent="0.3">
      <c r="A425" s="4"/>
      <c r="B425" s="4"/>
    </row>
    <row r="426" spans="1:2" ht="15.75" customHeight="1" x14ac:dyDescent="0.3">
      <c r="A426" s="4"/>
      <c r="B426" s="4"/>
    </row>
    <row r="427" spans="1:2" ht="15.75" customHeight="1" x14ac:dyDescent="0.3">
      <c r="A427" s="4"/>
      <c r="B427" s="4"/>
    </row>
    <row r="428" spans="1:2" ht="15.75" customHeight="1" x14ac:dyDescent="0.3">
      <c r="A428" s="4"/>
      <c r="B428" s="4"/>
    </row>
    <row r="429" spans="1:2" ht="15.75" customHeight="1" x14ac:dyDescent="0.3">
      <c r="A429" s="4"/>
      <c r="B429" s="4"/>
    </row>
    <row r="430" spans="1:2" ht="15.75" customHeight="1" x14ac:dyDescent="0.3">
      <c r="A430" s="4"/>
      <c r="B430" s="4"/>
    </row>
    <row r="431" spans="1:2" ht="15.75" customHeight="1" x14ac:dyDescent="0.3">
      <c r="A431" s="4"/>
      <c r="B431" s="4"/>
    </row>
    <row r="432" spans="1:2" ht="15.75" customHeight="1" x14ac:dyDescent="0.3">
      <c r="A432" s="4"/>
      <c r="B432" s="4"/>
    </row>
    <row r="433" spans="1:2" ht="15.75" customHeight="1" x14ac:dyDescent="0.3">
      <c r="A433" s="4"/>
      <c r="B433" s="4"/>
    </row>
    <row r="434" spans="1:2" ht="15.75" customHeight="1" x14ac:dyDescent="0.3">
      <c r="A434" s="4"/>
      <c r="B434" s="4"/>
    </row>
    <row r="435" spans="1:2" ht="15.75" customHeight="1" x14ac:dyDescent="0.3">
      <c r="A435" s="4"/>
      <c r="B435" s="4"/>
    </row>
    <row r="436" spans="1:2" ht="15.75" customHeight="1" x14ac:dyDescent="0.3">
      <c r="A436" s="4"/>
      <c r="B436" s="4"/>
    </row>
    <row r="437" spans="1:2" ht="15.75" customHeight="1" x14ac:dyDescent="0.3">
      <c r="A437" s="4"/>
      <c r="B437" s="4"/>
    </row>
    <row r="438" spans="1:2" ht="15.75" customHeight="1" x14ac:dyDescent="0.3">
      <c r="A438" s="4"/>
      <c r="B438" s="4"/>
    </row>
    <row r="439" spans="1:2" ht="15.75" customHeight="1" x14ac:dyDescent="0.3">
      <c r="A439" s="4"/>
      <c r="B439" s="4"/>
    </row>
    <row r="440" spans="1:2" ht="15.75" customHeight="1" x14ac:dyDescent="0.3">
      <c r="A440" s="4"/>
      <c r="B440" s="4"/>
    </row>
    <row r="441" spans="1:2" ht="15.75" customHeight="1" x14ac:dyDescent="0.3">
      <c r="A441" s="4"/>
      <c r="B441" s="4"/>
    </row>
    <row r="442" spans="1:2" ht="15.75" customHeight="1" x14ac:dyDescent="0.3">
      <c r="A442" s="4"/>
      <c r="B442" s="4"/>
    </row>
    <row r="443" spans="1:2" ht="15.75" customHeight="1" x14ac:dyDescent="0.3">
      <c r="A443" s="4"/>
      <c r="B443" s="4"/>
    </row>
    <row r="444" spans="1:2" ht="15.75" customHeight="1" x14ac:dyDescent="0.3">
      <c r="A444" s="4"/>
      <c r="B444" s="4"/>
    </row>
    <row r="445" spans="1:2" ht="15.75" customHeight="1" x14ac:dyDescent="0.3">
      <c r="A445" s="4"/>
      <c r="B445" s="4"/>
    </row>
    <row r="446" spans="1:2" ht="15.75" customHeight="1" x14ac:dyDescent="0.3">
      <c r="A446" s="4"/>
      <c r="B446" s="4"/>
    </row>
    <row r="447" spans="1:2" ht="15.75" customHeight="1" x14ac:dyDescent="0.3">
      <c r="A447" s="4"/>
      <c r="B447" s="4"/>
    </row>
    <row r="448" spans="1:2" ht="15.75" customHeight="1" x14ac:dyDescent="0.3">
      <c r="A448" s="4"/>
      <c r="B448" s="4"/>
    </row>
    <row r="449" spans="1:2" ht="15.75" customHeight="1" x14ac:dyDescent="0.3">
      <c r="A449" s="4"/>
      <c r="B449" s="4"/>
    </row>
    <row r="450" spans="1:2" ht="15.75" customHeight="1" x14ac:dyDescent="0.3">
      <c r="A450" s="4"/>
      <c r="B450" s="4"/>
    </row>
    <row r="451" spans="1:2" ht="15.75" customHeight="1" x14ac:dyDescent="0.3">
      <c r="A451" s="4"/>
      <c r="B451" s="4"/>
    </row>
    <row r="452" spans="1:2" ht="15.75" customHeight="1" x14ac:dyDescent="0.3">
      <c r="A452" s="4"/>
      <c r="B452" s="4"/>
    </row>
    <row r="453" spans="1:2" ht="15.75" customHeight="1" x14ac:dyDescent="0.3">
      <c r="A453" s="4"/>
      <c r="B453" s="4"/>
    </row>
    <row r="454" spans="1:2" ht="15.75" customHeight="1" x14ac:dyDescent="0.3">
      <c r="A454" s="4"/>
      <c r="B454" s="4"/>
    </row>
    <row r="455" spans="1:2" ht="15.75" customHeight="1" x14ac:dyDescent="0.3">
      <c r="A455" s="4"/>
      <c r="B455" s="4"/>
    </row>
    <row r="456" spans="1:2" ht="15.75" customHeight="1" x14ac:dyDescent="0.3">
      <c r="A456" s="4"/>
      <c r="B456" s="4"/>
    </row>
    <row r="457" spans="1:2" ht="15.75" customHeight="1" x14ac:dyDescent="0.3">
      <c r="A457" s="4"/>
      <c r="B457" s="4"/>
    </row>
    <row r="458" spans="1:2" ht="15.75" customHeight="1" x14ac:dyDescent="0.3">
      <c r="A458" s="4"/>
      <c r="B458" s="4"/>
    </row>
    <row r="459" spans="1:2" ht="15.75" customHeight="1" x14ac:dyDescent="0.3">
      <c r="A459" s="4"/>
      <c r="B459" s="4"/>
    </row>
    <row r="460" spans="1:2" ht="15.75" customHeight="1" x14ac:dyDescent="0.3">
      <c r="A460" s="4"/>
      <c r="B460" s="4"/>
    </row>
    <row r="461" spans="1:2" ht="15.75" customHeight="1" x14ac:dyDescent="0.3">
      <c r="A461" s="4"/>
      <c r="B461" s="4"/>
    </row>
    <row r="462" spans="1:2" ht="15.75" customHeight="1" x14ac:dyDescent="0.3">
      <c r="A462" s="4"/>
      <c r="B462" s="4"/>
    </row>
    <row r="463" spans="1:2" ht="15.75" customHeight="1" x14ac:dyDescent="0.3">
      <c r="A463" s="4"/>
      <c r="B463" s="4"/>
    </row>
    <row r="464" spans="1:2" ht="15.75" customHeight="1" x14ac:dyDescent="0.3">
      <c r="A464" s="4"/>
      <c r="B464" s="4"/>
    </row>
    <row r="465" spans="1:2" ht="15.75" customHeight="1" x14ac:dyDescent="0.3">
      <c r="A465" s="4"/>
      <c r="B465" s="4"/>
    </row>
    <row r="466" spans="1:2" ht="15.75" customHeight="1" x14ac:dyDescent="0.3">
      <c r="A466" s="4"/>
      <c r="B466" s="4"/>
    </row>
    <row r="467" spans="1:2" ht="15.75" customHeight="1" x14ac:dyDescent="0.3">
      <c r="A467" s="4"/>
      <c r="B467" s="4"/>
    </row>
    <row r="468" spans="1:2" ht="15.75" customHeight="1" x14ac:dyDescent="0.3">
      <c r="A468" s="4"/>
      <c r="B468" s="4"/>
    </row>
    <row r="469" spans="1:2" ht="15.75" customHeight="1" x14ac:dyDescent="0.3">
      <c r="A469" s="4"/>
      <c r="B469" s="4"/>
    </row>
    <row r="470" spans="1:2" ht="15.75" customHeight="1" x14ac:dyDescent="0.3">
      <c r="A470" s="4"/>
      <c r="B470" s="4"/>
    </row>
    <row r="471" spans="1:2" ht="15.75" customHeight="1" x14ac:dyDescent="0.3">
      <c r="A471" s="4"/>
      <c r="B471" s="4"/>
    </row>
    <row r="472" spans="1:2" ht="15.75" customHeight="1" x14ac:dyDescent="0.3">
      <c r="A472" s="4"/>
      <c r="B472" s="4"/>
    </row>
    <row r="473" spans="1:2" ht="15.75" customHeight="1" x14ac:dyDescent="0.3">
      <c r="A473" s="4"/>
      <c r="B473" s="4"/>
    </row>
    <row r="474" spans="1:2" ht="15.75" customHeight="1" x14ac:dyDescent="0.3">
      <c r="A474" s="4"/>
      <c r="B474" s="4"/>
    </row>
    <row r="475" spans="1:2" ht="15.75" customHeight="1" x14ac:dyDescent="0.3">
      <c r="A475" s="4"/>
      <c r="B475" s="4"/>
    </row>
    <row r="476" spans="1:2" ht="15.75" customHeight="1" x14ac:dyDescent="0.3">
      <c r="A476" s="4"/>
      <c r="B476" s="4"/>
    </row>
    <row r="477" spans="1:2" ht="15.75" customHeight="1" x14ac:dyDescent="0.3">
      <c r="A477" s="4"/>
      <c r="B477" s="4"/>
    </row>
    <row r="478" spans="1:2" ht="15.75" customHeight="1" x14ac:dyDescent="0.3">
      <c r="A478" s="4"/>
      <c r="B478" s="4"/>
    </row>
    <row r="479" spans="1:2" ht="15.75" customHeight="1" x14ac:dyDescent="0.3">
      <c r="A479" s="4"/>
      <c r="B479" s="4"/>
    </row>
    <row r="480" spans="1:2" ht="15.75" customHeight="1" x14ac:dyDescent="0.3">
      <c r="A480" s="4"/>
      <c r="B480" s="4"/>
    </row>
    <row r="481" spans="1:2" ht="15.75" customHeight="1" x14ac:dyDescent="0.3">
      <c r="A481" s="4"/>
      <c r="B481" s="4"/>
    </row>
    <row r="482" spans="1:2" ht="15.75" customHeight="1" x14ac:dyDescent="0.3">
      <c r="A482" s="4"/>
      <c r="B482" s="4"/>
    </row>
    <row r="483" spans="1:2" ht="15.75" customHeight="1" x14ac:dyDescent="0.3">
      <c r="A483" s="4"/>
      <c r="B483" s="4"/>
    </row>
    <row r="484" spans="1:2" ht="15.75" customHeight="1" x14ac:dyDescent="0.3">
      <c r="A484" s="4"/>
      <c r="B484" s="4"/>
    </row>
    <row r="485" spans="1:2" ht="15.75" customHeight="1" x14ac:dyDescent="0.3">
      <c r="A485" s="4"/>
      <c r="B485" s="4"/>
    </row>
    <row r="486" spans="1:2" ht="15.75" customHeight="1" x14ac:dyDescent="0.3">
      <c r="A486" s="4"/>
      <c r="B486" s="4"/>
    </row>
    <row r="487" spans="1:2" ht="15.75" customHeight="1" x14ac:dyDescent="0.3">
      <c r="A487" s="4"/>
      <c r="B487" s="4"/>
    </row>
    <row r="488" spans="1:2" ht="15.75" customHeight="1" x14ac:dyDescent="0.3">
      <c r="A488" s="4"/>
      <c r="B488" s="4"/>
    </row>
    <row r="489" spans="1:2" ht="15.75" customHeight="1" x14ac:dyDescent="0.3">
      <c r="A489" s="4"/>
      <c r="B489" s="4"/>
    </row>
    <row r="490" spans="1:2" ht="15.75" customHeight="1" x14ac:dyDescent="0.3">
      <c r="A490" s="4"/>
      <c r="B490" s="4"/>
    </row>
    <row r="491" spans="1:2" ht="15.75" customHeight="1" x14ac:dyDescent="0.3">
      <c r="A491" s="4"/>
      <c r="B491" s="4"/>
    </row>
    <row r="492" spans="1:2" ht="15.75" customHeight="1" x14ac:dyDescent="0.3">
      <c r="A492" s="4"/>
      <c r="B492" s="4"/>
    </row>
    <row r="493" spans="1:2" ht="15.75" customHeight="1" x14ac:dyDescent="0.3">
      <c r="A493" s="4"/>
      <c r="B493" s="4"/>
    </row>
    <row r="494" spans="1:2" ht="15.75" customHeight="1" x14ac:dyDescent="0.3">
      <c r="A494" s="4"/>
      <c r="B494" s="4"/>
    </row>
    <row r="495" spans="1:2" ht="15.75" customHeight="1" x14ac:dyDescent="0.3">
      <c r="A495" s="4"/>
      <c r="B495" s="4"/>
    </row>
    <row r="496" spans="1:2" ht="15.75" customHeight="1" x14ac:dyDescent="0.3">
      <c r="A496" s="4"/>
      <c r="B496" s="4"/>
    </row>
    <row r="497" spans="1:2" ht="15.75" customHeight="1" x14ac:dyDescent="0.3">
      <c r="A497" s="4"/>
      <c r="B497" s="4"/>
    </row>
    <row r="498" spans="1:2" ht="15.75" customHeight="1" x14ac:dyDescent="0.3">
      <c r="A498" s="4"/>
      <c r="B498" s="4"/>
    </row>
    <row r="499" spans="1:2" ht="15.75" customHeight="1" x14ac:dyDescent="0.3">
      <c r="A499" s="4"/>
      <c r="B499" s="4"/>
    </row>
    <row r="500" spans="1:2" ht="15.75" customHeight="1" x14ac:dyDescent="0.3">
      <c r="A500" s="4"/>
      <c r="B500" s="4"/>
    </row>
    <row r="501" spans="1:2" ht="15.75" customHeight="1" x14ac:dyDescent="0.3">
      <c r="A501" s="4"/>
      <c r="B501" s="4"/>
    </row>
    <row r="502" spans="1:2" ht="15.75" customHeight="1" x14ac:dyDescent="0.3">
      <c r="A502" s="4"/>
      <c r="B502" s="4"/>
    </row>
    <row r="503" spans="1:2" ht="15.75" customHeight="1" x14ac:dyDescent="0.3">
      <c r="A503" s="4"/>
      <c r="B503" s="4"/>
    </row>
    <row r="504" spans="1:2" ht="15.75" customHeight="1" x14ac:dyDescent="0.3">
      <c r="A504" s="4"/>
      <c r="B504" s="4"/>
    </row>
    <row r="505" spans="1:2" ht="15.75" customHeight="1" x14ac:dyDescent="0.3">
      <c r="A505" s="4"/>
      <c r="B505" s="4"/>
    </row>
    <row r="506" spans="1:2" ht="15.75" customHeight="1" x14ac:dyDescent="0.3">
      <c r="A506" s="4"/>
      <c r="B506" s="4"/>
    </row>
    <row r="507" spans="1:2" ht="15.75" customHeight="1" x14ac:dyDescent="0.3">
      <c r="A507" s="4"/>
      <c r="B507" s="4"/>
    </row>
    <row r="508" spans="1:2" ht="15.75" customHeight="1" x14ac:dyDescent="0.3">
      <c r="A508" s="4"/>
      <c r="B508" s="4"/>
    </row>
    <row r="509" spans="1:2" ht="15.75" customHeight="1" x14ac:dyDescent="0.3">
      <c r="A509" s="4"/>
      <c r="B509" s="4"/>
    </row>
    <row r="510" spans="1:2" ht="15.75" customHeight="1" x14ac:dyDescent="0.3">
      <c r="A510" s="4"/>
      <c r="B510" s="4"/>
    </row>
    <row r="511" spans="1:2" ht="15.75" customHeight="1" x14ac:dyDescent="0.3">
      <c r="A511" s="4"/>
      <c r="B511" s="4"/>
    </row>
    <row r="512" spans="1:2" ht="15.75" customHeight="1" x14ac:dyDescent="0.3">
      <c r="A512" s="4"/>
      <c r="B512" s="4"/>
    </row>
    <row r="513" spans="1:2" ht="15.75" customHeight="1" x14ac:dyDescent="0.3">
      <c r="A513" s="4"/>
      <c r="B513" s="4"/>
    </row>
    <row r="514" spans="1:2" ht="15.75" customHeight="1" x14ac:dyDescent="0.3">
      <c r="A514" s="4"/>
      <c r="B514" s="4"/>
    </row>
    <row r="515" spans="1:2" ht="15.75" customHeight="1" x14ac:dyDescent="0.3">
      <c r="A515" s="4"/>
      <c r="B515" s="4"/>
    </row>
    <row r="516" spans="1:2" ht="15.75" customHeight="1" x14ac:dyDescent="0.3">
      <c r="A516" s="4"/>
      <c r="B516" s="4"/>
    </row>
    <row r="517" spans="1:2" ht="15.75" customHeight="1" x14ac:dyDescent="0.3">
      <c r="A517" s="4"/>
      <c r="B517" s="4"/>
    </row>
    <row r="518" spans="1:2" ht="15.75" customHeight="1" x14ac:dyDescent="0.3">
      <c r="A518" s="4"/>
      <c r="B518" s="4"/>
    </row>
    <row r="519" spans="1:2" ht="15.75" customHeight="1" x14ac:dyDescent="0.3">
      <c r="A519" s="4"/>
      <c r="B519" s="4"/>
    </row>
    <row r="520" spans="1:2" ht="15.75" customHeight="1" x14ac:dyDescent="0.3">
      <c r="A520" s="4"/>
      <c r="B520" s="4"/>
    </row>
    <row r="521" spans="1:2" ht="15.75" customHeight="1" x14ac:dyDescent="0.3">
      <c r="A521" s="4"/>
      <c r="B521" s="4"/>
    </row>
    <row r="522" spans="1:2" ht="15.75" customHeight="1" x14ac:dyDescent="0.3">
      <c r="A522" s="4"/>
      <c r="B522" s="4"/>
    </row>
    <row r="523" spans="1:2" ht="15.75" customHeight="1" x14ac:dyDescent="0.3">
      <c r="A523" s="4"/>
      <c r="B523" s="4"/>
    </row>
    <row r="524" spans="1:2" ht="15.75" customHeight="1" x14ac:dyDescent="0.3">
      <c r="A524" s="4"/>
      <c r="B524" s="4"/>
    </row>
    <row r="525" spans="1:2" ht="15.75" customHeight="1" x14ac:dyDescent="0.3">
      <c r="A525" s="4"/>
      <c r="B525" s="4"/>
    </row>
    <row r="526" spans="1:2" ht="15.75" customHeight="1" x14ac:dyDescent="0.3">
      <c r="A526" s="4"/>
      <c r="B526" s="4"/>
    </row>
    <row r="527" spans="1:2" ht="15.75" customHeight="1" x14ac:dyDescent="0.3">
      <c r="A527" s="4"/>
      <c r="B527" s="4"/>
    </row>
    <row r="528" spans="1:2" ht="15.75" customHeight="1" x14ac:dyDescent="0.3">
      <c r="A528" s="4"/>
      <c r="B528" s="4"/>
    </row>
    <row r="529" spans="1:2" ht="15.75" customHeight="1" x14ac:dyDescent="0.3">
      <c r="A529" s="4"/>
      <c r="B529" s="4"/>
    </row>
    <row r="530" spans="1:2" ht="15.75" customHeight="1" x14ac:dyDescent="0.3">
      <c r="A530" s="4"/>
      <c r="B530" s="4"/>
    </row>
    <row r="531" spans="1:2" ht="15.75" customHeight="1" x14ac:dyDescent="0.3">
      <c r="A531" s="4"/>
      <c r="B531" s="4"/>
    </row>
    <row r="532" spans="1:2" ht="15.75" customHeight="1" x14ac:dyDescent="0.3">
      <c r="A532" s="4"/>
      <c r="B532" s="4"/>
    </row>
    <row r="533" spans="1:2" ht="15.75" customHeight="1" x14ac:dyDescent="0.3">
      <c r="A533" s="4"/>
      <c r="B533" s="4"/>
    </row>
    <row r="534" spans="1:2" ht="15.75" customHeight="1" x14ac:dyDescent="0.3">
      <c r="A534" s="4"/>
      <c r="B534" s="4"/>
    </row>
    <row r="535" spans="1:2" ht="15.75" customHeight="1" x14ac:dyDescent="0.3">
      <c r="A535" s="4"/>
      <c r="B535" s="4"/>
    </row>
    <row r="536" spans="1:2" ht="15.75" customHeight="1" x14ac:dyDescent="0.3">
      <c r="A536" s="4"/>
      <c r="B536" s="4"/>
    </row>
    <row r="537" spans="1:2" ht="15.75" customHeight="1" x14ac:dyDescent="0.3">
      <c r="A537" s="4"/>
      <c r="B537" s="4"/>
    </row>
    <row r="538" spans="1:2" ht="15.75" customHeight="1" x14ac:dyDescent="0.3">
      <c r="A538" s="4"/>
      <c r="B538" s="4"/>
    </row>
    <row r="539" spans="1:2" ht="15.75" customHeight="1" x14ac:dyDescent="0.3">
      <c r="A539" s="4"/>
      <c r="B539" s="4"/>
    </row>
    <row r="540" spans="1:2" ht="15.75" customHeight="1" x14ac:dyDescent="0.3">
      <c r="A540" s="4"/>
      <c r="B540" s="4"/>
    </row>
    <row r="541" spans="1:2" ht="15.75" customHeight="1" x14ac:dyDescent="0.3">
      <c r="A541" s="4"/>
      <c r="B541" s="4"/>
    </row>
    <row r="542" spans="1:2" ht="15.75" customHeight="1" x14ac:dyDescent="0.3">
      <c r="A542" s="4"/>
      <c r="B542" s="4"/>
    </row>
    <row r="543" spans="1:2" ht="15.75" customHeight="1" x14ac:dyDescent="0.3">
      <c r="A543" s="4"/>
      <c r="B543" s="4"/>
    </row>
    <row r="544" spans="1:2" ht="15.75" customHeight="1" x14ac:dyDescent="0.3">
      <c r="A544" s="4"/>
      <c r="B544" s="4"/>
    </row>
    <row r="545" spans="1:2" ht="15.75" customHeight="1" x14ac:dyDescent="0.3">
      <c r="A545" s="4"/>
      <c r="B545" s="4"/>
    </row>
    <row r="546" spans="1:2" ht="15.75" customHeight="1" x14ac:dyDescent="0.3">
      <c r="A546" s="4"/>
      <c r="B546" s="4"/>
    </row>
    <row r="547" spans="1:2" ht="15.75" customHeight="1" x14ac:dyDescent="0.3">
      <c r="A547" s="4"/>
      <c r="B547" s="4"/>
    </row>
    <row r="548" spans="1:2" ht="15.75" customHeight="1" x14ac:dyDescent="0.3">
      <c r="A548" s="4"/>
      <c r="B548" s="4"/>
    </row>
    <row r="549" spans="1:2" ht="15.75" customHeight="1" x14ac:dyDescent="0.3">
      <c r="A549" s="4"/>
      <c r="B549" s="4"/>
    </row>
    <row r="550" spans="1:2" ht="15.75" customHeight="1" x14ac:dyDescent="0.3">
      <c r="A550" s="4"/>
      <c r="B550" s="4"/>
    </row>
    <row r="551" spans="1:2" ht="15.75" customHeight="1" x14ac:dyDescent="0.3">
      <c r="A551" s="4"/>
      <c r="B551" s="4"/>
    </row>
    <row r="552" spans="1:2" ht="15.75" customHeight="1" x14ac:dyDescent="0.3">
      <c r="A552" s="4"/>
      <c r="B552" s="4"/>
    </row>
    <row r="553" spans="1:2" ht="15.75" customHeight="1" x14ac:dyDescent="0.3">
      <c r="A553" s="4"/>
      <c r="B553" s="4"/>
    </row>
    <row r="554" spans="1:2" ht="15.75" customHeight="1" x14ac:dyDescent="0.3">
      <c r="A554" s="4"/>
      <c r="B554" s="4"/>
    </row>
    <row r="555" spans="1:2" ht="15.75" customHeight="1" x14ac:dyDescent="0.3">
      <c r="A555" s="4"/>
      <c r="B555" s="4"/>
    </row>
    <row r="556" spans="1:2" ht="15.75" customHeight="1" x14ac:dyDescent="0.3">
      <c r="A556" s="4"/>
      <c r="B556" s="4"/>
    </row>
    <row r="557" spans="1:2" ht="15.75" customHeight="1" x14ac:dyDescent="0.3">
      <c r="A557" s="4"/>
      <c r="B557" s="4"/>
    </row>
    <row r="558" spans="1:2" ht="15.75" customHeight="1" x14ac:dyDescent="0.3">
      <c r="A558" s="4"/>
      <c r="B558" s="4"/>
    </row>
    <row r="559" spans="1:2" ht="15.75" customHeight="1" x14ac:dyDescent="0.3">
      <c r="A559" s="4"/>
      <c r="B559" s="4"/>
    </row>
    <row r="560" spans="1:2" ht="15.75" customHeight="1" x14ac:dyDescent="0.3">
      <c r="A560" s="4"/>
      <c r="B560" s="4"/>
    </row>
    <row r="561" spans="1:2" ht="15.75" customHeight="1" x14ac:dyDescent="0.3">
      <c r="A561" s="4"/>
      <c r="B561" s="4"/>
    </row>
    <row r="562" spans="1:2" ht="15.75" customHeight="1" x14ac:dyDescent="0.3">
      <c r="A562" s="4"/>
      <c r="B562" s="4"/>
    </row>
    <row r="563" spans="1:2" ht="15.75" customHeight="1" x14ac:dyDescent="0.3">
      <c r="A563" s="4"/>
      <c r="B563" s="4"/>
    </row>
    <row r="564" spans="1:2" ht="15.75" customHeight="1" x14ac:dyDescent="0.3">
      <c r="A564" s="4"/>
      <c r="B564" s="4"/>
    </row>
    <row r="565" spans="1:2" ht="15.75" customHeight="1" x14ac:dyDescent="0.3">
      <c r="A565" s="4"/>
      <c r="B565" s="4"/>
    </row>
    <row r="566" spans="1:2" ht="15.75" customHeight="1" x14ac:dyDescent="0.3">
      <c r="A566" s="4"/>
      <c r="B566" s="4"/>
    </row>
    <row r="567" spans="1:2" ht="15.75" customHeight="1" x14ac:dyDescent="0.3">
      <c r="A567" s="4"/>
      <c r="B567" s="4"/>
    </row>
    <row r="568" spans="1:2" ht="15.75" customHeight="1" x14ac:dyDescent="0.3">
      <c r="A568" s="4"/>
      <c r="B568" s="4"/>
    </row>
    <row r="569" spans="1:2" ht="15.75" customHeight="1" x14ac:dyDescent="0.3">
      <c r="A569" s="4"/>
      <c r="B569" s="4"/>
    </row>
    <row r="570" spans="1:2" ht="15.75" customHeight="1" x14ac:dyDescent="0.3">
      <c r="A570" s="4"/>
      <c r="B570" s="4"/>
    </row>
    <row r="571" spans="1:2" ht="15.75" customHeight="1" x14ac:dyDescent="0.3">
      <c r="A571" s="4"/>
      <c r="B571" s="4"/>
    </row>
    <row r="572" spans="1:2" ht="15.75" customHeight="1" x14ac:dyDescent="0.3">
      <c r="A572" s="4"/>
      <c r="B572" s="4"/>
    </row>
    <row r="573" spans="1:2" ht="15.75" customHeight="1" x14ac:dyDescent="0.3">
      <c r="A573" s="4"/>
      <c r="B573" s="4"/>
    </row>
    <row r="574" spans="1:2" ht="15.75" customHeight="1" x14ac:dyDescent="0.3">
      <c r="A574" s="4"/>
      <c r="B574" s="4"/>
    </row>
    <row r="575" spans="1:2" ht="15.75" customHeight="1" x14ac:dyDescent="0.3">
      <c r="A575" s="4"/>
      <c r="B575" s="4"/>
    </row>
    <row r="576" spans="1:2" ht="15.75" customHeight="1" x14ac:dyDescent="0.3">
      <c r="A576" s="4"/>
      <c r="B576" s="4"/>
    </row>
    <row r="577" spans="1:2" ht="15.75" customHeight="1" x14ac:dyDescent="0.3">
      <c r="A577" s="4"/>
      <c r="B577" s="4"/>
    </row>
    <row r="578" spans="1:2" ht="15.75" customHeight="1" x14ac:dyDescent="0.3">
      <c r="A578" s="4"/>
      <c r="B578" s="4"/>
    </row>
    <row r="579" spans="1:2" ht="15.75" customHeight="1" x14ac:dyDescent="0.3">
      <c r="A579" s="4"/>
      <c r="B579" s="4"/>
    </row>
    <row r="580" spans="1:2" ht="15.75" customHeight="1" x14ac:dyDescent="0.3">
      <c r="A580" s="4"/>
      <c r="B580" s="4"/>
    </row>
    <row r="581" spans="1:2" ht="15.75" customHeight="1" x14ac:dyDescent="0.3">
      <c r="A581" s="4"/>
      <c r="B581" s="4"/>
    </row>
    <row r="582" spans="1:2" ht="15.75" customHeight="1" x14ac:dyDescent="0.3">
      <c r="A582" s="4"/>
      <c r="B582" s="4"/>
    </row>
    <row r="583" spans="1:2" ht="15.75" customHeight="1" x14ac:dyDescent="0.3">
      <c r="A583" s="4"/>
      <c r="B583" s="4"/>
    </row>
    <row r="584" spans="1:2" ht="15.75" customHeight="1" x14ac:dyDescent="0.3">
      <c r="A584" s="4"/>
      <c r="B584" s="4"/>
    </row>
    <row r="585" spans="1:2" ht="15.75" customHeight="1" x14ac:dyDescent="0.3">
      <c r="A585" s="4"/>
      <c r="B585" s="4"/>
    </row>
    <row r="586" spans="1:2" ht="15.75" customHeight="1" x14ac:dyDescent="0.3">
      <c r="A586" s="4"/>
      <c r="B586" s="4"/>
    </row>
    <row r="587" spans="1:2" ht="15.75" customHeight="1" x14ac:dyDescent="0.3">
      <c r="A587" s="4"/>
      <c r="B587" s="4"/>
    </row>
    <row r="588" spans="1:2" ht="15.75" customHeight="1" x14ac:dyDescent="0.3">
      <c r="A588" s="4"/>
      <c r="B588" s="4"/>
    </row>
    <row r="589" spans="1:2" ht="15.75" customHeight="1" x14ac:dyDescent="0.3">
      <c r="A589" s="4"/>
      <c r="B589" s="4"/>
    </row>
    <row r="590" spans="1:2" ht="15.75" customHeight="1" x14ac:dyDescent="0.3">
      <c r="A590" s="4"/>
      <c r="B590" s="4"/>
    </row>
    <row r="591" spans="1:2" ht="15.75" customHeight="1" x14ac:dyDescent="0.3">
      <c r="A591" s="4"/>
      <c r="B591" s="4"/>
    </row>
    <row r="592" spans="1:2" ht="15.75" customHeight="1" x14ac:dyDescent="0.3">
      <c r="A592" s="4"/>
      <c r="B592" s="4"/>
    </row>
    <row r="593" spans="1:2" ht="15.75" customHeight="1" x14ac:dyDescent="0.3">
      <c r="A593" s="4"/>
      <c r="B593" s="4"/>
    </row>
    <row r="594" spans="1:2" ht="15.75" customHeight="1" x14ac:dyDescent="0.3">
      <c r="A594" s="4"/>
      <c r="B594" s="4"/>
    </row>
    <row r="595" spans="1:2" ht="15.75" customHeight="1" x14ac:dyDescent="0.3">
      <c r="A595" s="4"/>
      <c r="B595" s="4"/>
    </row>
    <row r="596" spans="1:2" ht="15.75" customHeight="1" x14ac:dyDescent="0.3">
      <c r="A596" s="4"/>
      <c r="B596" s="4"/>
    </row>
    <row r="597" spans="1:2" ht="15.75" customHeight="1" x14ac:dyDescent="0.3">
      <c r="A597" s="4"/>
      <c r="B597" s="4"/>
    </row>
    <row r="598" spans="1:2" ht="15.75" customHeight="1" x14ac:dyDescent="0.3">
      <c r="A598" s="4"/>
      <c r="B598" s="4"/>
    </row>
    <row r="599" spans="1:2" ht="15.75" customHeight="1" x14ac:dyDescent="0.3">
      <c r="A599" s="4"/>
      <c r="B599" s="4"/>
    </row>
    <row r="600" spans="1:2" ht="15.75" customHeight="1" x14ac:dyDescent="0.3">
      <c r="A600" s="4"/>
      <c r="B600" s="4"/>
    </row>
    <row r="601" spans="1:2" ht="15.75" customHeight="1" x14ac:dyDescent="0.3">
      <c r="A601" s="4"/>
      <c r="B601" s="4"/>
    </row>
    <row r="602" spans="1:2" ht="15.75" customHeight="1" x14ac:dyDescent="0.3">
      <c r="A602" s="4"/>
      <c r="B602" s="4"/>
    </row>
    <row r="603" spans="1:2" ht="15.75" customHeight="1" x14ac:dyDescent="0.3">
      <c r="A603" s="4"/>
      <c r="B603" s="4"/>
    </row>
    <row r="604" spans="1:2" ht="15.75" customHeight="1" x14ac:dyDescent="0.3">
      <c r="A604" s="4"/>
      <c r="B604" s="4"/>
    </row>
    <row r="605" spans="1:2" ht="15.75" customHeight="1" x14ac:dyDescent="0.3">
      <c r="A605" s="4"/>
      <c r="B605" s="4"/>
    </row>
    <row r="606" spans="1:2" ht="15.75" customHeight="1" x14ac:dyDescent="0.3">
      <c r="A606" s="4"/>
      <c r="B606" s="4"/>
    </row>
    <row r="607" spans="1:2" ht="15.75" customHeight="1" x14ac:dyDescent="0.3">
      <c r="A607" s="4"/>
      <c r="B607" s="4"/>
    </row>
    <row r="608" spans="1:2" ht="15.75" customHeight="1" x14ac:dyDescent="0.3">
      <c r="A608" s="4"/>
      <c r="B608" s="4"/>
    </row>
    <row r="609" spans="1:2" ht="15.75" customHeight="1" x14ac:dyDescent="0.3">
      <c r="A609" s="4"/>
      <c r="B609" s="4"/>
    </row>
    <row r="610" spans="1:2" ht="15.75" customHeight="1" x14ac:dyDescent="0.3">
      <c r="A610" s="4"/>
      <c r="B610" s="4"/>
    </row>
    <row r="611" spans="1:2" ht="15.75" customHeight="1" x14ac:dyDescent="0.3">
      <c r="A611" s="4"/>
      <c r="B611" s="4"/>
    </row>
    <row r="612" spans="1:2" ht="15.75" customHeight="1" x14ac:dyDescent="0.3">
      <c r="A612" s="4"/>
      <c r="B612" s="4"/>
    </row>
    <row r="613" spans="1:2" ht="15.75" customHeight="1" x14ac:dyDescent="0.3">
      <c r="A613" s="4"/>
      <c r="B613" s="4"/>
    </row>
    <row r="614" spans="1:2" ht="15.75" customHeight="1" x14ac:dyDescent="0.3">
      <c r="A614" s="4"/>
      <c r="B614" s="4"/>
    </row>
    <row r="615" spans="1:2" ht="15.75" customHeight="1" x14ac:dyDescent="0.3">
      <c r="A615" s="4"/>
      <c r="B615" s="4"/>
    </row>
    <row r="616" spans="1:2" ht="15.75" customHeight="1" x14ac:dyDescent="0.3">
      <c r="A616" s="4"/>
      <c r="B616" s="4"/>
    </row>
    <row r="617" spans="1:2" ht="15.75" customHeight="1" x14ac:dyDescent="0.3">
      <c r="A617" s="4"/>
      <c r="B617" s="4"/>
    </row>
    <row r="618" spans="1:2" ht="15.75" customHeight="1" x14ac:dyDescent="0.3">
      <c r="A618" s="4"/>
      <c r="B618" s="4"/>
    </row>
    <row r="619" spans="1:2" ht="15.75" customHeight="1" x14ac:dyDescent="0.3">
      <c r="A619" s="4"/>
      <c r="B619" s="4"/>
    </row>
    <row r="620" spans="1:2" ht="15.75" customHeight="1" x14ac:dyDescent="0.3">
      <c r="A620" s="4"/>
      <c r="B620" s="4"/>
    </row>
    <row r="621" spans="1:2" ht="15.75" customHeight="1" x14ac:dyDescent="0.3">
      <c r="A621" s="4"/>
      <c r="B621" s="4"/>
    </row>
    <row r="622" spans="1:2" ht="15.75" customHeight="1" x14ac:dyDescent="0.3">
      <c r="A622" s="4"/>
      <c r="B622" s="4"/>
    </row>
    <row r="623" spans="1:2" ht="15.75" customHeight="1" x14ac:dyDescent="0.3">
      <c r="A623" s="4"/>
      <c r="B623" s="4"/>
    </row>
    <row r="624" spans="1:2" ht="15.75" customHeight="1" x14ac:dyDescent="0.3">
      <c r="A624" s="4"/>
      <c r="B624" s="4"/>
    </row>
    <row r="625" spans="1:2" ht="15.75" customHeight="1" x14ac:dyDescent="0.3">
      <c r="A625" s="4"/>
      <c r="B625" s="4"/>
    </row>
    <row r="626" spans="1:2" ht="15.75" customHeight="1" x14ac:dyDescent="0.3">
      <c r="A626" s="4"/>
      <c r="B626" s="4"/>
    </row>
    <row r="627" spans="1:2" ht="15.75" customHeight="1" x14ac:dyDescent="0.3">
      <c r="A627" s="4"/>
      <c r="B627" s="4"/>
    </row>
    <row r="628" spans="1:2" ht="15.75" customHeight="1" x14ac:dyDescent="0.3">
      <c r="A628" s="4"/>
      <c r="B628" s="4"/>
    </row>
    <row r="629" spans="1:2" ht="15.75" customHeight="1" x14ac:dyDescent="0.3">
      <c r="A629" s="4"/>
      <c r="B629" s="4"/>
    </row>
    <row r="630" spans="1:2" ht="15.75" customHeight="1" x14ac:dyDescent="0.3">
      <c r="A630" s="4"/>
      <c r="B630" s="4"/>
    </row>
    <row r="631" spans="1:2" ht="15.75" customHeight="1" x14ac:dyDescent="0.3">
      <c r="A631" s="4"/>
      <c r="B631" s="4"/>
    </row>
    <row r="632" spans="1:2" ht="15.75" customHeight="1" x14ac:dyDescent="0.3">
      <c r="A632" s="4"/>
      <c r="B632" s="4"/>
    </row>
    <row r="633" spans="1:2" ht="15.75" customHeight="1" x14ac:dyDescent="0.3">
      <c r="A633" s="4"/>
      <c r="B633" s="4"/>
    </row>
    <row r="634" spans="1:2" ht="15.75" customHeight="1" x14ac:dyDescent="0.3">
      <c r="A634" s="4"/>
      <c r="B634" s="4"/>
    </row>
    <row r="635" spans="1:2" ht="15.75" customHeight="1" x14ac:dyDescent="0.3">
      <c r="A635" s="4"/>
      <c r="B635" s="4"/>
    </row>
    <row r="636" spans="1:2" ht="15.75" customHeight="1" x14ac:dyDescent="0.3">
      <c r="A636" s="4"/>
      <c r="B636" s="4"/>
    </row>
    <row r="637" spans="1:2" ht="15.75" customHeight="1" x14ac:dyDescent="0.3">
      <c r="A637" s="4"/>
      <c r="B637" s="4"/>
    </row>
    <row r="638" spans="1:2" ht="15.75" customHeight="1" x14ac:dyDescent="0.3">
      <c r="A638" s="4"/>
      <c r="B638" s="4"/>
    </row>
    <row r="639" spans="1:2" ht="15.75" customHeight="1" x14ac:dyDescent="0.3">
      <c r="A639" s="4"/>
      <c r="B639" s="4"/>
    </row>
    <row r="640" spans="1:2" ht="15.75" customHeight="1" x14ac:dyDescent="0.3">
      <c r="A640" s="4"/>
      <c r="B640" s="4"/>
    </row>
    <row r="641" spans="1:2" ht="15.75" customHeight="1" x14ac:dyDescent="0.3">
      <c r="A641" s="4"/>
      <c r="B641" s="4"/>
    </row>
    <row r="642" spans="1:2" ht="15.75" customHeight="1" x14ac:dyDescent="0.3">
      <c r="A642" s="4"/>
      <c r="B642" s="4"/>
    </row>
    <row r="643" spans="1:2" ht="15.75" customHeight="1" x14ac:dyDescent="0.3">
      <c r="A643" s="4"/>
      <c r="B643" s="4"/>
    </row>
    <row r="644" spans="1:2" ht="15.75" customHeight="1" x14ac:dyDescent="0.3">
      <c r="A644" s="4"/>
      <c r="B644" s="4"/>
    </row>
    <row r="645" spans="1:2" ht="15.75" customHeight="1" x14ac:dyDescent="0.3">
      <c r="A645" s="4"/>
      <c r="B645" s="4"/>
    </row>
    <row r="646" spans="1:2" ht="15.75" customHeight="1" x14ac:dyDescent="0.3">
      <c r="A646" s="4"/>
      <c r="B646" s="4"/>
    </row>
    <row r="647" spans="1:2" ht="15.75" customHeight="1" x14ac:dyDescent="0.3">
      <c r="A647" s="4"/>
      <c r="B647" s="4"/>
    </row>
    <row r="648" spans="1:2" ht="15.75" customHeight="1" x14ac:dyDescent="0.3">
      <c r="A648" s="4"/>
      <c r="B648" s="4"/>
    </row>
    <row r="649" spans="1:2" ht="15.75" customHeight="1" x14ac:dyDescent="0.3">
      <c r="A649" s="4"/>
      <c r="B649" s="4"/>
    </row>
    <row r="650" spans="1:2" ht="15.75" customHeight="1" x14ac:dyDescent="0.3">
      <c r="A650" s="4"/>
      <c r="B650" s="4"/>
    </row>
    <row r="651" spans="1:2" ht="15.75" customHeight="1" x14ac:dyDescent="0.3">
      <c r="A651" s="4"/>
      <c r="B651" s="4"/>
    </row>
    <row r="652" spans="1:2" ht="15.75" customHeight="1" x14ac:dyDescent="0.3">
      <c r="A652" s="4"/>
      <c r="B652" s="4"/>
    </row>
    <row r="653" spans="1:2" ht="15.75" customHeight="1" x14ac:dyDescent="0.3">
      <c r="A653" s="4"/>
      <c r="B653" s="4"/>
    </row>
    <row r="654" spans="1:2" ht="15.75" customHeight="1" x14ac:dyDescent="0.3">
      <c r="A654" s="4"/>
      <c r="B654" s="4"/>
    </row>
    <row r="655" spans="1:2" ht="15.75" customHeight="1" x14ac:dyDescent="0.3">
      <c r="A655" s="4"/>
      <c r="B655" s="4"/>
    </row>
    <row r="656" spans="1:2" ht="15.75" customHeight="1" x14ac:dyDescent="0.3">
      <c r="A656" s="4"/>
      <c r="B656" s="4"/>
    </row>
    <row r="657" spans="1:2" ht="15.75" customHeight="1" x14ac:dyDescent="0.3">
      <c r="A657" s="4"/>
      <c r="B657" s="4"/>
    </row>
    <row r="658" spans="1:2" ht="15.75" customHeight="1" x14ac:dyDescent="0.3">
      <c r="A658" s="4"/>
      <c r="B658" s="4"/>
    </row>
    <row r="659" spans="1:2" ht="15.75" customHeight="1" x14ac:dyDescent="0.3">
      <c r="A659" s="4"/>
      <c r="B659" s="4"/>
    </row>
    <row r="660" spans="1:2" ht="15.75" customHeight="1" x14ac:dyDescent="0.3">
      <c r="A660" s="4"/>
      <c r="B660" s="4"/>
    </row>
    <row r="661" spans="1:2" ht="15.75" customHeight="1" x14ac:dyDescent="0.3">
      <c r="A661" s="4"/>
      <c r="B661" s="4"/>
    </row>
    <row r="662" spans="1:2" ht="15.75" customHeight="1" x14ac:dyDescent="0.3">
      <c r="A662" s="4"/>
      <c r="B662" s="4"/>
    </row>
    <row r="663" spans="1:2" ht="15.75" customHeight="1" x14ac:dyDescent="0.3">
      <c r="A663" s="4"/>
      <c r="B663" s="4"/>
    </row>
    <row r="664" spans="1:2" ht="15.75" customHeight="1" x14ac:dyDescent="0.3">
      <c r="A664" s="4"/>
      <c r="B664" s="4"/>
    </row>
    <row r="665" spans="1:2" ht="15.75" customHeight="1" x14ac:dyDescent="0.3">
      <c r="A665" s="4"/>
      <c r="B665" s="4"/>
    </row>
    <row r="666" spans="1:2" ht="15.75" customHeight="1" x14ac:dyDescent="0.3">
      <c r="A666" s="4"/>
      <c r="B666" s="4"/>
    </row>
    <row r="667" spans="1:2" ht="15.75" customHeight="1" x14ac:dyDescent="0.3">
      <c r="A667" s="4"/>
      <c r="B667" s="4"/>
    </row>
    <row r="668" spans="1:2" ht="15.75" customHeight="1" x14ac:dyDescent="0.3">
      <c r="A668" s="4"/>
      <c r="B668" s="4"/>
    </row>
    <row r="669" spans="1:2" ht="15.75" customHeight="1" x14ac:dyDescent="0.3">
      <c r="A669" s="4"/>
      <c r="B669" s="4"/>
    </row>
    <row r="670" spans="1:2" ht="15.75" customHeight="1" x14ac:dyDescent="0.3">
      <c r="A670" s="4"/>
      <c r="B670" s="4"/>
    </row>
    <row r="671" spans="1:2" ht="15.75" customHeight="1" x14ac:dyDescent="0.3">
      <c r="A671" s="4"/>
      <c r="B671" s="4"/>
    </row>
    <row r="672" spans="1:2" ht="15.75" customHeight="1" x14ac:dyDescent="0.3">
      <c r="A672" s="4"/>
      <c r="B672" s="4"/>
    </row>
    <row r="673" spans="1:2" ht="15.75" customHeight="1" x14ac:dyDescent="0.3">
      <c r="A673" s="4"/>
      <c r="B673" s="4"/>
    </row>
    <row r="674" spans="1:2" ht="15.75" customHeight="1" x14ac:dyDescent="0.3">
      <c r="A674" s="4"/>
      <c r="B674" s="4"/>
    </row>
    <row r="675" spans="1:2" ht="15.75" customHeight="1" x14ac:dyDescent="0.3">
      <c r="A675" s="4"/>
      <c r="B675" s="4"/>
    </row>
    <row r="676" spans="1:2" ht="15.75" customHeight="1" x14ac:dyDescent="0.3">
      <c r="A676" s="4"/>
      <c r="B676" s="4"/>
    </row>
    <row r="677" spans="1:2" ht="15.75" customHeight="1" x14ac:dyDescent="0.3">
      <c r="A677" s="4"/>
      <c r="B677" s="4"/>
    </row>
    <row r="678" spans="1:2" ht="15.75" customHeight="1" x14ac:dyDescent="0.3">
      <c r="A678" s="4"/>
      <c r="B678" s="4"/>
    </row>
    <row r="679" spans="1:2" ht="15.75" customHeight="1" x14ac:dyDescent="0.3">
      <c r="A679" s="4"/>
      <c r="B679" s="4"/>
    </row>
    <row r="680" spans="1:2" ht="15.75" customHeight="1" x14ac:dyDescent="0.3">
      <c r="A680" s="4"/>
      <c r="B680" s="4"/>
    </row>
    <row r="681" spans="1:2" ht="15.75" customHeight="1" x14ac:dyDescent="0.3">
      <c r="A681" s="4"/>
      <c r="B681" s="4"/>
    </row>
    <row r="682" spans="1:2" ht="15.75" customHeight="1" x14ac:dyDescent="0.3">
      <c r="A682" s="4"/>
      <c r="B682" s="4"/>
    </row>
    <row r="683" spans="1:2" ht="15.75" customHeight="1" x14ac:dyDescent="0.3">
      <c r="A683" s="4"/>
      <c r="B683" s="4"/>
    </row>
    <row r="684" spans="1:2" ht="15.75" customHeight="1" x14ac:dyDescent="0.3">
      <c r="A684" s="4"/>
      <c r="B684" s="4"/>
    </row>
    <row r="685" spans="1:2" ht="15.75" customHeight="1" x14ac:dyDescent="0.3">
      <c r="A685" s="4"/>
      <c r="B685" s="4"/>
    </row>
    <row r="686" spans="1:2" ht="15.75" customHeight="1" x14ac:dyDescent="0.3">
      <c r="A686" s="4"/>
      <c r="B686" s="4"/>
    </row>
    <row r="687" spans="1:2" ht="15.75" customHeight="1" x14ac:dyDescent="0.3">
      <c r="A687" s="4"/>
      <c r="B687" s="4"/>
    </row>
    <row r="688" spans="1:2" ht="15.75" customHeight="1" x14ac:dyDescent="0.3">
      <c r="A688" s="4"/>
      <c r="B688" s="4"/>
    </row>
    <row r="689" spans="1:2" ht="15.75" customHeight="1" x14ac:dyDescent="0.3">
      <c r="A689" s="4"/>
      <c r="B689" s="4"/>
    </row>
    <row r="690" spans="1:2" ht="15.75" customHeight="1" x14ac:dyDescent="0.3">
      <c r="A690" s="4"/>
      <c r="B690" s="4"/>
    </row>
    <row r="691" spans="1:2" ht="15.75" customHeight="1" x14ac:dyDescent="0.3">
      <c r="A691" s="4"/>
      <c r="B691" s="4"/>
    </row>
    <row r="692" spans="1:2" ht="15.75" customHeight="1" x14ac:dyDescent="0.3">
      <c r="A692" s="4"/>
      <c r="B692" s="4"/>
    </row>
    <row r="693" spans="1:2" ht="15.75" customHeight="1" x14ac:dyDescent="0.3">
      <c r="A693" s="4"/>
      <c r="B693" s="4"/>
    </row>
    <row r="694" spans="1:2" ht="15.75" customHeight="1" x14ac:dyDescent="0.3">
      <c r="A694" s="4"/>
      <c r="B694" s="4"/>
    </row>
    <row r="695" spans="1:2" ht="15.75" customHeight="1" x14ac:dyDescent="0.3">
      <c r="A695" s="4"/>
      <c r="B695" s="4"/>
    </row>
    <row r="696" spans="1:2" ht="15.75" customHeight="1" x14ac:dyDescent="0.3">
      <c r="A696" s="4"/>
      <c r="B696" s="4"/>
    </row>
    <row r="697" spans="1:2" ht="15.75" customHeight="1" x14ac:dyDescent="0.3">
      <c r="A697" s="4"/>
      <c r="B697" s="4"/>
    </row>
    <row r="698" spans="1:2" ht="15.75" customHeight="1" x14ac:dyDescent="0.3">
      <c r="A698" s="4"/>
      <c r="B698" s="4"/>
    </row>
    <row r="699" spans="1:2" ht="15.75" customHeight="1" x14ac:dyDescent="0.3">
      <c r="A699" s="4"/>
      <c r="B699" s="4"/>
    </row>
    <row r="700" spans="1:2" ht="15.75" customHeight="1" x14ac:dyDescent="0.3">
      <c r="A700" s="4"/>
      <c r="B700" s="4"/>
    </row>
    <row r="701" spans="1:2" ht="15.75" customHeight="1" x14ac:dyDescent="0.3">
      <c r="A701" s="4"/>
      <c r="B701" s="4"/>
    </row>
    <row r="702" spans="1:2" ht="15.75" customHeight="1" x14ac:dyDescent="0.3">
      <c r="A702" s="4"/>
      <c r="B702" s="4"/>
    </row>
    <row r="703" spans="1:2" ht="15.75" customHeight="1" x14ac:dyDescent="0.3">
      <c r="A703" s="4"/>
      <c r="B703" s="4"/>
    </row>
    <row r="704" spans="1:2" ht="15.75" customHeight="1" x14ac:dyDescent="0.3">
      <c r="A704" s="4"/>
      <c r="B704" s="4"/>
    </row>
    <row r="705" spans="1:2" ht="15.75" customHeight="1" x14ac:dyDescent="0.3">
      <c r="A705" s="4"/>
      <c r="B705" s="4"/>
    </row>
    <row r="706" spans="1:2" ht="15.75" customHeight="1" x14ac:dyDescent="0.3">
      <c r="A706" s="4"/>
      <c r="B706" s="4"/>
    </row>
    <row r="707" spans="1:2" ht="15.75" customHeight="1" x14ac:dyDescent="0.3">
      <c r="A707" s="4"/>
      <c r="B707" s="4"/>
    </row>
    <row r="708" spans="1:2" ht="15.75" customHeight="1" x14ac:dyDescent="0.3">
      <c r="A708" s="4"/>
      <c r="B708" s="4"/>
    </row>
    <row r="709" spans="1:2" ht="15.75" customHeight="1" x14ac:dyDescent="0.3">
      <c r="A709" s="4"/>
      <c r="B709" s="4"/>
    </row>
    <row r="710" spans="1:2" ht="15.75" customHeight="1" x14ac:dyDescent="0.3">
      <c r="A710" s="4"/>
      <c r="B710" s="4"/>
    </row>
    <row r="711" spans="1:2" ht="15.75" customHeight="1" x14ac:dyDescent="0.3">
      <c r="A711" s="4"/>
      <c r="B711" s="4"/>
    </row>
    <row r="712" spans="1:2" ht="15.75" customHeight="1" x14ac:dyDescent="0.3">
      <c r="A712" s="4"/>
      <c r="B712" s="4"/>
    </row>
    <row r="713" spans="1:2" ht="15.75" customHeight="1" x14ac:dyDescent="0.3">
      <c r="A713" s="4"/>
      <c r="B713" s="4"/>
    </row>
    <row r="714" spans="1:2" ht="15.75" customHeight="1" x14ac:dyDescent="0.3">
      <c r="A714" s="4"/>
      <c r="B714" s="4"/>
    </row>
    <row r="715" spans="1:2" ht="15.75" customHeight="1" x14ac:dyDescent="0.3">
      <c r="A715" s="4"/>
      <c r="B715" s="4"/>
    </row>
    <row r="716" spans="1:2" ht="15.75" customHeight="1" x14ac:dyDescent="0.3">
      <c r="A716" s="4"/>
      <c r="B716" s="4"/>
    </row>
    <row r="717" spans="1:2" ht="15.75" customHeight="1" x14ac:dyDescent="0.3">
      <c r="A717" s="4"/>
      <c r="B717" s="4"/>
    </row>
    <row r="718" spans="1:2" ht="15.75" customHeight="1" x14ac:dyDescent="0.3">
      <c r="A718" s="4"/>
      <c r="B718" s="4"/>
    </row>
    <row r="719" spans="1:2" ht="15.75" customHeight="1" x14ac:dyDescent="0.3">
      <c r="A719" s="4"/>
      <c r="B719" s="4"/>
    </row>
    <row r="720" spans="1:2" ht="15.75" customHeight="1" x14ac:dyDescent="0.3">
      <c r="A720" s="4"/>
      <c r="B720" s="4"/>
    </row>
    <row r="721" spans="1:2" ht="15.75" customHeight="1" x14ac:dyDescent="0.3">
      <c r="A721" s="4"/>
      <c r="B721" s="4"/>
    </row>
    <row r="722" spans="1:2" ht="15.75" customHeight="1" x14ac:dyDescent="0.3">
      <c r="A722" s="4"/>
      <c r="B722" s="4"/>
    </row>
    <row r="723" spans="1:2" ht="15.75" customHeight="1" x14ac:dyDescent="0.3">
      <c r="A723" s="4"/>
      <c r="B723" s="4"/>
    </row>
    <row r="724" spans="1:2" ht="15.75" customHeight="1" x14ac:dyDescent="0.3">
      <c r="A724" s="4"/>
      <c r="B724" s="4"/>
    </row>
    <row r="725" spans="1:2" ht="15.75" customHeight="1" x14ac:dyDescent="0.3">
      <c r="A725" s="4"/>
      <c r="B725" s="4"/>
    </row>
    <row r="726" spans="1:2" ht="15.75" customHeight="1" x14ac:dyDescent="0.3">
      <c r="A726" s="4"/>
      <c r="B726" s="4"/>
    </row>
    <row r="727" spans="1:2" ht="15.75" customHeight="1" x14ac:dyDescent="0.3">
      <c r="A727" s="4"/>
      <c r="B727" s="4"/>
    </row>
    <row r="728" spans="1:2" ht="15.75" customHeight="1" x14ac:dyDescent="0.3">
      <c r="A728" s="4"/>
      <c r="B728" s="4"/>
    </row>
    <row r="729" spans="1:2" ht="15.75" customHeight="1" x14ac:dyDescent="0.3">
      <c r="A729" s="4"/>
      <c r="B729" s="4"/>
    </row>
    <row r="730" spans="1:2" ht="15.75" customHeight="1" x14ac:dyDescent="0.3">
      <c r="A730" s="4"/>
      <c r="B730" s="4"/>
    </row>
    <row r="731" spans="1:2" ht="15.75" customHeight="1" x14ac:dyDescent="0.3">
      <c r="A731" s="4"/>
      <c r="B731" s="4"/>
    </row>
    <row r="732" spans="1:2" ht="15.75" customHeight="1" x14ac:dyDescent="0.3">
      <c r="A732" s="4"/>
      <c r="B732" s="4"/>
    </row>
    <row r="733" spans="1:2" ht="15.75" customHeight="1" x14ac:dyDescent="0.3">
      <c r="A733" s="4"/>
      <c r="B733" s="4"/>
    </row>
    <row r="734" spans="1:2" ht="15.75" customHeight="1" x14ac:dyDescent="0.3">
      <c r="A734" s="4"/>
      <c r="B734" s="4"/>
    </row>
    <row r="735" spans="1:2" ht="15.75" customHeight="1" x14ac:dyDescent="0.3">
      <c r="A735" s="4"/>
      <c r="B735" s="4"/>
    </row>
    <row r="736" spans="1:2" ht="15.75" customHeight="1" x14ac:dyDescent="0.3">
      <c r="A736" s="4"/>
      <c r="B736" s="4"/>
    </row>
    <row r="737" spans="1:2" ht="15.75" customHeight="1" x14ac:dyDescent="0.3">
      <c r="A737" s="4"/>
      <c r="B737" s="4"/>
    </row>
    <row r="738" spans="1:2" ht="15.75" customHeight="1" x14ac:dyDescent="0.3">
      <c r="A738" s="4"/>
      <c r="B738" s="4"/>
    </row>
    <row r="739" spans="1:2" ht="15.75" customHeight="1" x14ac:dyDescent="0.3">
      <c r="A739" s="4"/>
      <c r="B739" s="4"/>
    </row>
    <row r="740" spans="1:2" ht="15.75" customHeight="1" x14ac:dyDescent="0.3">
      <c r="A740" s="4"/>
      <c r="B740" s="4"/>
    </row>
    <row r="741" spans="1:2" ht="15.75" customHeight="1" x14ac:dyDescent="0.3">
      <c r="A741" s="4"/>
      <c r="B741" s="4"/>
    </row>
    <row r="742" spans="1:2" ht="15.75" customHeight="1" x14ac:dyDescent="0.3">
      <c r="A742" s="4"/>
      <c r="B742" s="4"/>
    </row>
    <row r="743" spans="1:2" ht="15.75" customHeight="1" x14ac:dyDescent="0.3">
      <c r="A743" s="4"/>
      <c r="B743" s="4"/>
    </row>
    <row r="744" spans="1:2" ht="15.75" customHeight="1" x14ac:dyDescent="0.3">
      <c r="A744" s="4"/>
      <c r="B744" s="4"/>
    </row>
    <row r="745" spans="1:2" ht="15.75" customHeight="1" x14ac:dyDescent="0.3">
      <c r="A745" s="4"/>
      <c r="B745" s="4"/>
    </row>
    <row r="746" spans="1:2" ht="15.75" customHeight="1" x14ac:dyDescent="0.3">
      <c r="A746" s="4"/>
      <c r="B746" s="4"/>
    </row>
    <row r="747" spans="1:2" ht="15.75" customHeight="1" x14ac:dyDescent="0.3">
      <c r="A747" s="4"/>
      <c r="B747" s="4"/>
    </row>
    <row r="748" spans="1:2" ht="15.75" customHeight="1" x14ac:dyDescent="0.3">
      <c r="A748" s="4"/>
      <c r="B748" s="4"/>
    </row>
    <row r="749" spans="1:2" ht="15.75" customHeight="1" x14ac:dyDescent="0.3">
      <c r="A749" s="4"/>
      <c r="B749" s="4"/>
    </row>
    <row r="750" spans="1:2" ht="15.75" customHeight="1" x14ac:dyDescent="0.3">
      <c r="A750" s="4"/>
      <c r="B750" s="4"/>
    </row>
    <row r="751" spans="1:2" ht="15.75" customHeight="1" x14ac:dyDescent="0.3">
      <c r="A751" s="4"/>
      <c r="B751" s="4"/>
    </row>
    <row r="752" spans="1:2" ht="15.75" customHeight="1" x14ac:dyDescent="0.3">
      <c r="A752" s="4"/>
      <c r="B752" s="4"/>
    </row>
    <row r="753" spans="1:2" ht="15.75" customHeight="1" x14ac:dyDescent="0.3">
      <c r="A753" s="4"/>
      <c r="B753" s="4"/>
    </row>
    <row r="754" spans="1:2" ht="15.75" customHeight="1" x14ac:dyDescent="0.3">
      <c r="A754" s="4"/>
      <c r="B754" s="4"/>
    </row>
    <row r="755" spans="1:2" ht="15.75" customHeight="1" x14ac:dyDescent="0.3">
      <c r="A755" s="4"/>
      <c r="B755" s="4"/>
    </row>
    <row r="756" spans="1:2" ht="15.75" customHeight="1" x14ac:dyDescent="0.3">
      <c r="A756" s="4"/>
      <c r="B756" s="4"/>
    </row>
    <row r="757" spans="1:2" ht="15.75" customHeight="1" x14ac:dyDescent="0.3">
      <c r="A757" s="4"/>
      <c r="B757" s="4"/>
    </row>
    <row r="758" spans="1:2" ht="15.75" customHeight="1" x14ac:dyDescent="0.3">
      <c r="A758" s="4"/>
      <c r="B758" s="4"/>
    </row>
    <row r="759" spans="1:2" ht="15.75" customHeight="1" x14ac:dyDescent="0.3">
      <c r="A759" s="4"/>
      <c r="B759" s="4"/>
    </row>
    <row r="760" spans="1:2" ht="15.75" customHeight="1" x14ac:dyDescent="0.3">
      <c r="A760" s="4"/>
      <c r="B760" s="4"/>
    </row>
    <row r="761" spans="1:2" ht="15.75" customHeight="1" x14ac:dyDescent="0.3">
      <c r="A761" s="4"/>
      <c r="B761" s="4"/>
    </row>
    <row r="762" spans="1:2" ht="15.75" customHeight="1" x14ac:dyDescent="0.3">
      <c r="A762" s="4"/>
      <c r="B762" s="4"/>
    </row>
    <row r="763" spans="1:2" ht="15.75" customHeight="1" x14ac:dyDescent="0.3">
      <c r="A763" s="4"/>
      <c r="B763" s="4"/>
    </row>
    <row r="764" spans="1:2" ht="15.75" customHeight="1" x14ac:dyDescent="0.3">
      <c r="A764" s="4"/>
      <c r="B764" s="4"/>
    </row>
    <row r="765" spans="1:2" ht="15.75" customHeight="1" x14ac:dyDescent="0.3">
      <c r="A765" s="4"/>
      <c r="B765" s="4"/>
    </row>
    <row r="766" spans="1:2" ht="15.75" customHeight="1" x14ac:dyDescent="0.3">
      <c r="A766" s="4"/>
      <c r="B766" s="4"/>
    </row>
    <row r="767" spans="1:2" ht="15.75" customHeight="1" x14ac:dyDescent="0.3">
      <c r="A767" s="4"/>
      <c r="B767" s="4"/>
    </row>
    <row r="768" spans="1:2" ht="15.75" customHeight="1" x14ac:dyDescent="0.3">
      <c r="A768" s="4"/>
      <c r="B768" s="4"/>
    </row>
    <row r="769" spans="1:2" ht="15.75" customHeight="1" x14ac:dyDescent="0.3">
      <c r="A769" s="4"/>
      <c r="B769" s="4"/>
    </row>
    <row r="770" spans="1:2" ht="15.75" customHeight="1" x14ac:dyDescent="0.3">
      <c r="A770" s="4"/>
      <c r="B770" s="4"/>
    </row>
    <row r="771" spans="1:2" ht="15.75" customHeight="1" x14ac:dyDescent="0.3">
      <c r="A771" s="4"/>
      <c r="B771" s="4"/>
    </row>
    <row r="772" spans="1:2" ht="15.75" customHeight="1" x14ac:dyDescent="0.3">
      <c r="A772" s="4"/>
      <c r="B772" s="4"/>
    </row>
    <row r="773" spans="1:2" ht="15.75" customHeight="1" x14ac:dyDescent="0.3">
      <c r="A773" s="4"/>
      <c r="B773" s="4"/>
    </row>
    <row r="774" spans="1:2" ht="15.75" customHeight="1" x14ac:dyDescent="0.3">
      <c r="A774" s="4"/>
      <c r="B774" s="4"/>
    </row>
    <row r="775" spans="1:2" ht="15.75" customHeight="1" x14ac:dyDescent="0.3">
      <c r="A775" s="4"/>
      <c r="B775" s="4"/>
    </row>
    <row r="776" spans="1:2" ht="15.75" customHeight="1" x14ac:dyDescent="0.3">
      <c r="A776" s="4"/>
      <c r="B776" s="4"/>
    </row>
    <row r="777" spans="1:2" ht="15.75" customHeight="1" x14ac:dyDescent="0.3">
      <c r="A777" s="4"/>
      <c r="B777" s="4"/>
    </row>
    <row r="778" spans="1:2" ht="15.75" customHeight="1" x14ac:dyDescent="0.3">
      <c r="A778" s="4"/>
      <c r="B778" s="4"/>
    </row>
    <row r="779" spans="1:2" ht="15.75" customHeight="1" x14ac:dyDescent="0.3">
      <c r="A779" s="4"/>
      <c r="B779" s="4"/>
    </row>
    <row r="780" spans="1:2" ht="15.75" customHeight="1" x14ac:dyDescent="0.3">
      <c r="A780" s="4"/>
      <c r="B780" s="4"/>
    </row>
    <row r="781" spans="1:2" ht="15.75" customHeight="1" x14ac:dyDescent="0.3">
      <c r="A781" s="4"/>
      <c r="B781" s="4"/>
    </row>
    <row r="782" spans="1:2" ht="15.75" customHeight="1" x14ac:dyDescent="0.3">
      <c r="A782" s="4"/>
      <c r="B782" s="4"/>
    </row>
    <row r="783" spans="1:2" ht="15.75" customHeight="1" x14ac:dyDescent="0.3">
      <c r="A783" s="4"/>
      <c r="B783" s="4"/>
    </row>
    <row r="784" spans="1:2" ht="15.75" customHeight="1" x14ac:dyDescent="0.3">
      <c r="A784" s="4"/>
      <c r="B784" s="4"/>
    </row>
    <row r="785" spans="1:2" ht="15.75" customHeight="1" x14ac:dyDescent="0.3">
      <c r="A785" s="4"/>
      <c r="B785" s="4"/>
    </row>
    <row r="786" spans="1:2" ht="15.75" customHeight="1" x14ac:dyDescent="0.3">
      <c r="A786" s="4"/>
      <c r="B786" s="4"/>
    </row>
    <row r="787" spans="1:2" ht="15.75" customHeight="1" x14ac:dyDescent="0.3">
      <c r="A787" s="4"/>
      <c r="B787" s="4"/>
    </row>
    <row r="788" spans="1:2" ht="15.75" customHeight="1" x14ac:dyDescent="0.3">
      <c r="A788" s="4"/>
      <c r="B788" s="4"/>
    </row>
    <row r="789" spans="1:2" ht="15.75" customHeight="1" x14ac:dyDescent="0.3">
      <c r="A789" s="4"/>
      <c r="B789" s="4"/>
    </row>
    <row r="790" spans="1:2" ht="15.75" customHeight="1" x14ac:dyDescent="0.3">
      <c r="A790" s="4"/>
      <c r="B790" s="4"/>
    </row>
    <row r="791" spans="1:2" ht="15.75" customHeight="1" x14ac:dyDescent="0.3">
      <c r="A791" s="4"/>
      <c r="B791" s="4"/>
    </row>
    <row r="792" spans="1:2" ht="15.75" customHeight="1" x14ac:dyDescent="0.3">
      <c r="A792" s="4"/>
      <c r="B792" s="4"/>
    </row>
    <row r="793" spans="1:2" ht="15.75" customHeight="1" x14ac:dyDescent="0.3">
      <c r="A793" s="4"/>
      <c r="B793" s="4"/>
    </row>
    <row r="794" spans="1:2" ht="15.75" customHeight="1" x14ac:dyDescent="0.3">
      <c r="A794" s="4"/>
      <c r="B794" s="4"/>
    </row>
    <row r="795" spans="1:2" ht="15.75" customHeight="1" x14ac:dyDescent="0.3">
      <c r="A795" s="4"/>
      <c r="B795" s="4"/>
    </row>
    <row r="796" spans="1:2" ht="15.75" customHeight="1" x14ac:dyDescent="0.3">
      <c r="A796" s="4"/>
      <c r="B796" s="4"/>
    </row>
    <row r="797" spans="1:2" ht="15.75" customHeight="1" x14ac:dyDescent="0.3">
      <c r="A797" s="4"/>
      <c r="B797" s="4"/>
    </row>
    <row r="798" spans="1:2" ht="15.75" customHeight="1" x14ac:dyDescent="0.3">
      <c r="A798" s="4"/>
      <c r="B798" s="4"/>
    </row>
    <row r="799" spans="1:2" ht="15.75" customHeight="1" x14ac:dyDescent="0.3">
      <c r="A799" s="4"/>
      <c r="B799" s="4"/>
    </row>
    <row r="800" spans="1:2" ht="15.75" customHeight="1" x14ac:dyDescent="0.3">
      <c r="A800" s="4"/>
      <c r="B800" s="4"/>
    </row>
    <row r="801" spans="1:2" ht="15.75" customHeight="1" x14ac:dyDescent="0.3">
      <c r="A801" s="4"/>
      <c r="B801" s="4"/>
    </row>
    <row r="802" spans="1:2" ht="15.75" customHeight="1" x14ac:dyDescent="0.3">
      <c r="A802" s="4"/>
      <c r="B802" s="4"/>
    </row>
    <row r="803" spans="1:2" ht="15.75" customHeight="1" x14ac:dyDescent="0.3">
      <c r="A803" s="4"/>
      <c r="B803" s="4"/>
    </row>
    <row r="804" spans="1:2" ht="15.75" customHeight="1" x14ac:dyDescent="0.3">
      <c r="A804" s="4"/>
      <c r="B804" s="4"/>
    </row>
    <row r="805" spans="1:2" ht="15.75" customHeight="1" x14ac:dyDescent="0.3">
      <c r="A805" s="4"/>
      <c r="B805" s="4"/>
    </row>
    <row r="806" spans="1:2" ht="15.75" customHeight="1" x14ac:dyDescent="0.3">
      <c r="A806" s="4"/>
      <c r="B806" s="4"/>
    </row>
    <row r="807" spans="1:2" ht="15.75" customHeight="1" x14ac:dyDescent="0.3">
      <c r="A807" s="4"/>
      <c r="B807" s="4"/>
    </row>
    <row r="808" spans="1:2" ht="15.75" customHeight="1" x14ac:dyDescent="0.3">
      <c r="A808" s="4"/>
      <c r="B808" s="4"/>
    </row>
    <row r="809" spans="1:2" ht="15.75" customHeight="1" x14ac:dyDescent="0.3">
      <c r="A809" s="4"/>
      <c r="B809" s="4"/>
    </row>
    <row r="810" spans="1:2" ht="15.75" customHeight="1" x14ac:dyDescent="0.3">
      <c r="A810" s="4"/>
      <c r="B810" s="4"/>
    </row>
    <row r="811" spans="1:2" ht="15.75" customHeight="1" x14ac:dyDescent="0.3">
      <c r="A811" s="4"/>
      <c r="B811" s="4"/>
    </row>
    <row r="812" spans="1:2" ht="15.75" customHeight="1" x14ac:dyDescent="0.3">
      <c r="A812" s="4"/>
      <c r="B812" s="4"/>
    </row>
    <row r="813" spans="1:2" ht="15.75" customHeight="1" x14ac:dyDescent="0.3">
      <c r="A813" s="4"/>
      <c r="B813" s="4"/>
    </row>
    <row r="814" spans="1:2" ht="15.75" customHeight="1" x14ac:dyDescent="0.3">
      <c r="A814" s="4"/>
      <c r="B814" s="4"/>
    </row>
    <row r="815" spans="1:2" ht="15.75" customHeight="1" x14ac:dyDescent="0.3">
      <c r="A815" s="4"/>
      <c r="B815" s="4"/>
    </row>
    <row r="816" spans="1:2" ht="15.75" customHeight="1" x14ac:dyDescent="0.3">
      <c r="A816" s="4"/>
      <c r="B816" s="4"/>
    </row>
    <row r="817" spans="1:2" ht="15.75" customHeight="1" x14ac:dyDescent="0.3">
      <c r="A817" s="4"/>
      <c r="B817" s="4"/>
    </row>
    <row r="818" spans="1:2" ht="15.75" customHeight="1" x14ac:dyDescent="0.3">
      <c r="A818" s="4"/>
      <c r="B818" s="4"/>
    </row>
    <row r="819" spans="1:2" ht="15.75" customHeight="1" x14ac:dyDescent="0.3">
      <c r="A819" s="4"/>
      <c r="B819" s="4"/>
    </row>
    <row r="820" spans="1:2" ht="15.75" customHeight="1" x14ac:dyDescent="0.3">
      <c r="A820" s="4"/>
      <c r="B820" s="4"/>
    </row>
    <row r="821" spans="1:2" ht="15.75" customHeight="1" x14ac:dyDescent="0.3">
      <c r="A821" s="4"/>
      <c r="B821" s="4"/>
    </row>
    <row r="822" spans="1:2" ht="15.75" customHeight="1" x14ac:dyDescent="0.3">
      <c r="A822" s="4"/>
      <c r="B822" s="4"/>
    </row>
    <row r="823" spans="1:2" ht="15.75" customHeight="1" x14ac:dyDescent="0.3">
      <c r="A823" s="4"/>
      <c r="B823" s="4"/>
    </row>
    <row r="824" spans="1:2" ht="15.75" customHeight="1" x14ac:dyDescent="0.3">
      <c r="A824" s="4"/>
      <c r="B824" s="4"/>
    </row>
    <row r="825" spans="1:2" ht="15.75" customHeight="1" x14ac:dyDescent="0.3">
      <c r="A825" s="4"/>
      <c r="B825" s="4"/>
    </row>
    <row r="826" spans="1:2" ht="15.75" customHeight="1" x14ac:dyDescent="0.3">
      <c r="A826" s="4"/>
      <c r="B826" s="4"/>
    </row>
    <row r="827" spans="1:2" ht="15.75" customHeight="1" x14ac:dyDescent="0.3">
      <c r="A827" s="4"/>
      <c r="B827" s="4"/>
    </row>
    <row r="828" spans="1:2" ht="15.75" customHeight="1" x14ac:dyDescent="0.3">
      <c r="A828" s="4"/>
      <c r="B828" s="4"/>
    </row>
    <row r="829" spans="1:2" ht="15.75" customHeight="1" x14ac:dyDescent="0.3">
      <c r="A829" s="4"/>
      <c r="B829" s="4"/>
    </row>
    <row r="830" spans="1:2" ht="15.75" customHeight="1" x14ac:dyDescent="0.3">
      <c r="A830" s="4"/>
      <c r="B830" s="4"/>
    </row>
    <row r="831" spans="1:2" ht="15.75" customHeight="1" x14ac:dyDescent="0.3">
      <c r="A831" s="4"/>
      <c r="B831" s="4"/>
    </row>
    <row r="832" spans="1:2" ht="15.75" customHeight="1" x14ac:dyDescent="0.3">
      <c r="A832" s="4"/>
      <c r="B832" s="4"/>
    </row>
    <row r="833" spans="1:2" ht="15.75" customHeight="1" x14ac:dyDescent="0.3">
      <c r="A833" s="4"/>
      <c r="B833" s="4"/>
    </row>
    <row r="834" spans="1:2" ht="15.75" customHeight="1" x14ac:dyDescent="0.3">
      <c r="A834" s="4"/>
      <c r="B834" s="4"/>
    </row>
    <row r="835" spans="1:2" ht="15.75" customHeight="1" x14ac:dyDescent="0.3">
      <c r="A835" s="4"/>
      <c r="B835" s="4"/>
    </row>
    <row r="836" spans="1:2" ht="15.75" customHeight="1" x14ac:dyDescent="0.3">
      <c r="A836" s="4"/>
      <c r="B836" s="4"/>
    </row>
    <row r="837" spans="1:2" ht="15.75" customHeight="1" x14ac:dyDescent="0.3">
      <c r="A837" s="4"/>
      <c r="B837" s="4"/>
    </row>
    <row r="838" spans="1:2" ht="15.75" customHeight="1" x14ac:dyDescent="0.3">
      <c r="A838" s="4"/>
      <c r="B838" s="4"/>
    </row>
    <row r="839" spans="1:2" ht="15.75" customHeight="1" x14ac:dyDescent="0.3">
      <c r="A839" s="4"/>
      <c r="B839" s="4"/>
    </row>
    <row r="840" spans="1:2" ht="15.75" customHeight="1" x14ac:dyDescent="0.3">
      <c r="A840" s="4"/>
      <c r="B840" s="4"/>
    </row>
    <row r="841" spans="1:2" ht="15.75" customHeight="1" x14ac:dyDescent="0.3">
      <c r="A841" s="4"/>
      <c r="B841" s="4"/>
    </row>
    <row r="842" spans="1:2" ht="15.75" customHeight="1" x14ac:dyDescent="0.3">
      <c r="A842" s="4"/>
      <c r="B842" s="4"/>
    </row>
    <row r="843" spans="1:2" ht="15.75" customHeight="1" x14ac:dyDescent="0.3">
      <c r="A843" s="4"/>
      <c r="B843" s="4"/>
    </row>
    <row r="844" spans="1:2" ht="15.75" customHeight="1" x14ac:dyDescent="0.3">
      <c r="A844" s="4"/>
      <c r="B844" s="4"/>
    </row>
    <row r="845" spans="1:2" ht="15.75" customHeight="1" x14ac:dyDescent="0.3">
      <c r="A845" s="4"/>
      <c r="B845" s="4"/>
    </row>
    <row r="846" spans="1:2" ht="15.75" customHeight="1" x14ac:dyDescent="0.3">
      <c r="A846" s="4"/>
      <c r="B846" s="4"/>
    </row>
    <row r="847" spans="1:2" ht="15.75" customHeight="1" x14ac:dyDescent="0.3">
      <c r="A847" s="4"/>
      <c r="B847" s="4"/>
    </row>
    <row r="848" spans="1:2" ht="15.75" customHeight="1" x14ac:dyDescent="0.3">
      <c r="A848" s="4"/>
      <c r="B848" s="4"/>
    </row>
    <row r="849" spans="1:2" ht="15.75" customHeight="1" x14ac:dyDescent="0.3">
      <c r="A849" s="4"/>
      <c r="B849" s="4"/>
    </row>
    <row r="850" spans="1:2" ht="15.75" customHeight="1" x14ac:dyDescent="0.3">
      <c r="A850" s="4"/>
      <c r="B850" s="4"/>
    </row>
    <row r="851" spans="1:2" ht="15.75" customHeight="1" x14ac:dyDescent="0.3">
      <c r="A851" s="4"/>
      <c r="B851" s="4"/>
    </row>
    <row r="852" spans="1:2" ht="15.75" customHeight="1" x14ac:dyDescent="0.3">
      <c r="A852" s="4"/>
      <c r="B852" s="4"/>
    </row>
    <row r="853" spans="1:2" ht="15.75" customHeight="1" x14ac:dyDescent="0.3">
      <c r="A853" s="4"/>
      <c r="B853" s="4"/>
    </row>
    <row r="854" spans="1:2" ht="15.75" customHeight="1" x14ac:dyDescent="0.3">
      <c r="A854" s="4"/>
      <c r="B854" s="4"/>
    </row>
    <row r="855" spans="1:2" ht="15.75" customHeight="1" x14ac:dyDescent="0.3">
      <c r="A855" s="4"/>
      <c r="B855" s="4"/>
    </row>
    <row r="856" spans="1:2" ht="15.75" customHeight="1" x14ac:dyDescent="0.3">
      <c r="A856" s="4"/>
      <c r="B856" s="4"/>
    </row>
    <row r="857" spans="1:2" ht="15.75" customHeight="1" x14ac:dyDescent="0.3">
      <c r="A857" s="4"/>
      <c r="B857" s="4"/>
    </row>
    <row r="858" spans="1:2" ht="15.75" customHeight="1" x14ac:dyDescent="0.3">
      <c r="A858" s="4"/>
      <c r="B858" s="4"/>
    </row>
    <row r="859" spans="1:2" ht="15.75" customHeight="1" x14ac:dyDescent="0.3">
      <c r="A859" s="4"/>
      <c r="B859" s="4"/>
    </row>
    <row r="860" spans="1:2" ht="15.75" customHeight="1" x14ac:dyDescent="0.3">
      <c r="A860" s="4"/>
      <c r="B860" s="4"/>
    </row>
    <row r="861" spans="1:2" ht="15.75" customHeight="1" x14ac:dyDescent="0.3">
      <c r="A861" s="4"/>
      <c r="B861" s="4"/>
    </row>
    <row r="862" spans="1:2" ht="15.75" customHeight="1" x14ac:dyDescent="0.3">
      <c r="A862" s="4"/>
      <c r="B862" s="4"/>
    </row>
    <row r="863" spans="1:2" ht="15.75" customHeight="1" x14ac:dyDescent="0.3">
      <c r="A863" s="4"/>
      <c r="B863" s="4"/>
    </row>
    <row r="864" spans="1:2" ht="15.75" customHeight="1" x14ac:dyDescent="0.3">
      <c r="A864" s="4"/>
      <c r="B864" s="4"/>
    </row>
    <row r="865" spans="1:2" ht="15.75" customHeight="1" x14ac:dyDescent="0.3">
      <c r="A865" s="4"/>
      <c r="B865" s="4"/>
    </row>
    <row r="866" spans="1:2" ht="15.75" customHeight="1" x14ac:dyDescent="0.3">
      <c r="A866" s="4"/>
      <c r="B866" s="4"/>
    </row>
    <row r="867" spans="1:2" ht="15.75" customHeight="1" x14ac:dyDescent="0.3">
      <c r="A867" s="4"/>
      <c r="B867" s="4"/>
    </row>
    <row r="868" spans="1:2" ht="15.75" customHeight="1" x14ac:dyDescent="0.3">
      <c r="A868" s="4"/>
      <c r="B868" s="4"/>
    </row>
    <row r="869" spans="1:2" ht="15.75" customHeight="1" x14ac:dyDescent="0.3">
      <c r="A869" s="4"/>
      <c r="B869" s="4"/>
    </row>
    <row r="870" spans="1:2" ht="15.75" customHeight="1" x14ac:dyDescent="0.3">
      <c r="A870" s="4"/>
      <c r="B870" s="4"/>
    </row>
    <row r="871" spans="1:2" ht="15.75" customHeight="1" x14ac:dyDescent="0.3">
      <c r="A871" s="4"/>
      <c r="B871" s="4"/>
    </row>
    <row r="872" spans="1:2" ht="15.75" customHeight="1" x14ac:dyDescent="0.3">
      <c r="A872" s="4"/>
      <c r="B872" s="4"/>
    </row>
    <row r="873" spans="1:2" ht="15.75" customHeight="1" x14ac:dyDescent="0.3">
      <c r="A873" s="4"/>
      <c r="B873" s="4"/>
    </row>
    <row r="874" spans="1:2" ht="15.75" customHeight="1" x14ac:dyDescent="0.3">
      <c r="A874" s="4"/>
      <c r="B874" s="4"/>
    </row>
    <row r="875" spans="1:2" ht="15.75" customHeight="1" x14ac:dyDescent="0.3">
      <c r="A875" s="4"/>
      <c r="B875" s="4"/>
    </row>
    <row r="876" spans="1:2" ht="15.75" customHeight="1" x14ac:dyDescent="0.3">
      <c r="A876" s="4"/>
      <c r="B876" s="4"/>
    </row>
    <row r="877" spans="1:2" ht="15.75" customHeight="1" x14ac:dyDescent="0.3">
      <c r="A877" s="4"/>
      <c r="B877" s="4"/>
    </row>
    <row r="878" spans="1:2" ht="15.75" customHeight="1" x14ac:dyDescent="0.3">
      <c r="A878" s="4"/>
      <c r="B878" s="4"/>
    </row>
    <row r="879" spans="1:2" ht="15.75" customHeight="1" x14ac:dyDescent="0.3">
      <c r="A879" s="4"/>
      <c r="B879" s="4"/>
    </row>
    <row r="880" spans="1:2" ht="15.75" customHeight="1" x14ac:dyDescent="0.3">
      <c r="A880" s="4"/>
      <c r="B880" s="4"/>
    </row>
    <row r="881" spans="1:2" ht="15.75" customHeight="1" x14ac:dyDescent="0.3">
      <c r="A881" s="4"/>
      <c r="B881" s="4"/>
    </row>
    <row r="882" spans="1:2" ht="15.75" customHeight="1" x14ac:dyDescent="0.3">
      <c r="A882" s="4"/>
      <c r="B882" s="4"/>
    </row>
    <row r="883" spans="1:2" ht="15.75" customHeight="1" x14ac:dyDescent="0.3">
      <c r="A883" s="4"/>
      <c r="B883" s="4"/>
    </row>
    <row r="884" spans="1:2" ht="15.75" customHeight="1" x14ac:dyDescent="0.3">
      <c r="A884" s="4"/>
      <c r="B884" s="4"/>
    </row>
    <row r="885" spans="1:2" ht="15.75" customHeight="1" x14ac:dyDescent="0.3">
      <c r="A885" s="4"/>
      <c r="B885" s="4"/>
    </row>
    <row r="886" spans="1:2" ht="15.75" customHeight="1" x14ac:dyDescent="0.3">
      <c r="A886" s="4"/>
      <c r="B886" s="4"/>
    </row>
    <row r="887" spans="1:2" ht="15.75" customHeight="1" x14ac:dyDescent="0.3">
      <c r="A887" s="4"/>
      <c r="B887" s="4"/>
    </row>
    <row r="888" spans="1:2" ht="15.75" customHeight="1" x14ac:dyDescent="0.3">
      <c r="A888" s="4"/>
      <c r="B888" s="4"/>
    </row>
    <row r="889" spans="1:2" ht="15.75" customHeight="1" x14ac:dyDescent="0.3">
      <c r="A889" s="4"/>
      <c r="B889" s="4"/>
    </row>
    <row r="890" spans="1:2" ht="15.75" customHeight="1" x14ac:dyDescent="0.3">
      <c r="A890" s="4"/>
      <c r="B890" s="4"/>
    </row>
    <row r="891" spans="1:2" ht="15.75" customHeight="1" x14ac:dyDescent="0.3">
      <c r="A891" s="4"/>
      <c r="B891" s="4"/>
    </row>
    <row r="892" spans="1:2" ht="15.75" customHeight="1" x14ac:dyDescent="0.3">
      <c r="A892" s="4"/>
      <c r="B892" s="4"/>
    </row>
    <row r="893" spans="1:2" ht="15.75" customHeight="1" x14ac:dyDescent="0.3">
      <c r="A893" s="4"/>
      <c r="B893" s="4"/>
    </row>
    <row r="894" spans="1:2" ht="15.75" customHeight="1" x14ac:dyDescent="0.3">
      <c r="A894" s="4"/>
      <c r="B894" s="4"/>
    </row>
    <row r="895" spans="1:2" ht="15.75" customHeight="1" x14ac:dyDescent="0.3">
      <c r="A895" s="4"/>
      <c r="B895" s="4"/>
    </row>
    <row r="896" spans="1:2" ht="15.75" customHeight="1" x14ac:dyDescent="0.3">
      <c r="A896" s="4"/>
      <c r="B896" s="4"/>
    </row>
    <row r="897" spans="1:2" ht="15.75" customHeight="1" x14ac:dyDescent="0.3">
      <c r="A897" s="4"/>
      <c r="B897" s="4"/>
    </row>
    <row r="898" spans="1:2" ht="15.75" customHeight="1" x14ac:dyDescent="0.3">
      <c r="A898" s="4"/>
      <c r="B898" s="4"/>
    </row>
    <row r="899" spans="1:2" ht="15.75" customHeight="1" x14ac:dyDescent="0.3">
      <c r="A899" s="4"/>
      <c r="B899" s="4"/>
    </row>
    <row r="900" spans="1:2" ht="15.75" customHeight="1" x14ac:dyDescent="0.3">
      <c r="A900" s="4"/>
      <c r="B900" s="4"/>
    </row>
    <row r="901" spans="1:2" ht="15.75" customHeight="1" x14ac:dyDescent="0.3">
      <c r="A901" s="4"/>
      <c r="B901" s="4"/>
    </row>
    <row r="902" spans="1:2" ht="15.75" customHeight="1" x14ac:dyDescent="0.3">
      <c r="A902" s="4"/>
      <c r="B902" s="4"/>
    </row>
    <row r="903" spans="1:2" ht="15.75" customHeight="1" x14ac:dyDescent="0.3">
      <c r="A903" s="4"/>
      <c r="B903" s="4"/>
    </row>
    <row r="904" spans="1:2" ht="15.75" customHeight="1" x14ac:dyDescent="0.3">
      <c r="A904" s="4"/>
      <c r="B904" s="4"/>
    </row>
    <row r="905" spans="1:2" ht="15.75" customHeight="1" x14ac:dyDescent="0.3">
      <c r="A905" s="4"/>
      <c r="B905" s="4"/>
    </row>
    <row r="906" spans="1:2" ht="15.75" customHeight="1" x14ac:dyDescent="0.3">
      <c r="A906" s="4"/>
      <c r="B906" s="4"/>
    </row>
    <row r="907" spans="1:2" ht="15.75" customHeight="1" x14ac:dyDescent="0.3">
      <c r="A907" s="4"/>
      <c r="B907" s="4"/>
    </row>
    <row r="908" spans="1:2" ht="15.75" customHeight="1" x14ac:dyDescent="0.3">
      <c r="A908" s="4"/>
      <c r="B908" s="4"/>
    </row>
    <row r="909" spans="1:2" ht="15.75" customHeight="1" x14ac:dyDescent="0.3">
      <c r="A909" s="4"/>
      <c r="B909" s="4"/>
    </row>
    <row r="910" spans="1:2" ht="15.75" customHeight="1" x14ac:dyDescent="0.3">
      <c r="A910" s="4"/>
      <c r="B910" s="4"/>
    </row>
    <row r="911" spans="1:2" ht="15.75" customHeight="1" x14ac:dyDescent="0.3">
      <c r="A911" s="4"/>
      <c r="B911" s="4"/>
    </row>
    <row r="912" spans="1:2" ht="15.75" customHeight="1" x14ac:dyDescent="0.3">
      <c r="A912" s="4"/>
      <c r="B912" s="4"/>
    </row>
    <row r="913" spans="1:2" ht="15.75" customHeight="1" x14ac:dyDescent="0.3">
      <c r="A913" s="4"/>
      <c r="B913" s="4"/>
    </row>
    <row r="914" spans="1:2" ht="15.75" customHeight="1" x14ac:dyDescent="0.3">
      <c r="A914" s="4"/>
      <c r="B914" s="4"/>
    </row>
    <row r="915" spans="1:2" ht="15.75" customHeight="1" x14ac:dyDescent="0.3">
      <c r="A915" s="4"/>
      <c r="B915" s="4"/>
    </row>
    <row r="916" spans="1:2" ht="15.75" customHeight="1" x14ac:dyDescent="0.3">
      <c r="A916" s="4"/>
      <c r="B916" s="4"/>
    </row>
    <row r="917" spans="1:2" ht="15.75" customHeight="1" x14ac:dyDescent="0.3">
      <c r="A917" s="4"/>
      <c r="B917" s="4"/>
    </row>
    <row r="918" spans="1:2" ht="15.75" customHeight="1" x14ac:dyDescent="0.3">
      <c r="A918" s="4"/>
      <c r="B918" s="4"/>
    </row>
    <row r="919" spans="1:2" ht="15.75" customHeight="1" x14ac:dyDescent="0.3">
      <c r="A919" s="4"/>
      <c r="B919" s="4"/>
    </row>
    <row r="920" spans="1:2" ht="15.75" customHeight="1" x14ac:dyDescent="0.3">
      <c r="A920" s="4"/>
      <c r="B920" s="4"/>
    </row>
    <row r="921" spans="1:2" ht="15.75" customHeight="1" x14ac:dyDescent="0.3">
      <c r="A921" s="4"/>
      <c r="B921" s="4"/>
    </row>
    <row r="922" spans="1:2" ht="15.75" customHeight="1" x14ac:dyDescent="0.3">
      <c r="A922" s="4"/>
      <c r="B922" s="4"/>
    </row>
    <row r="923" spans="1:2" ht="15.75" customHeight="1" x14ac:dyDescent="0.3">
      <c r="A923" s="4"/>
      <c r="B923" s="4"/>
    </row>
    <row r="924" spans="1:2" ht="15.75" customHeight="1" x14ac:dyDescent="0.3">
      <c r="A924" s="4"/>
      <c r="B924" s="4"/>
    </row>
    <row r="925" spans="1:2" ht="15.75" customHeight="1" x14ac:dyDescent="0.3">
      <c r="A925" s="4"/>
      <c r="B925" s="4"/>
    </row>
    <row r="926" spans="1:2" ht="15.75" customHeight="1" x14ac:dyDescent="0.3">
      <c r="A926" s="4"/>
      <c r="B926" s="4"/>
    </row>
    <row r="927" spans="1:2" ht="15.75" customHeight="1" x14ac:dyDescent="0.3">
      <c r="A927" s="4"/>
      <c r="B927" s="4"/>
    </row>
    <row r="928" spans="1:2" ht="15.75" customHeight="1" x14ac:dyDescent="0.3">
      <c r="A928" s="4"/>
      <c r="B928" s="4"/>
    </row>
    <row r="929" spans="1:2" ht="15.75" customHeight="1" x14ac:dyDescent="0.3">
      <c r="A929" s="4"/>
      <c r="B929" s="4"/>
    </row>
    <row r="930" spans="1:2" ht="15.75" customHeight="1" x14ac:dyDescent="0.3">
      <c r="A930" s="4"/>
      <c r="B930" s="4"/>
    </row>
    <row r="931" spans="1:2" ht="15.75" customHeight="1" x14ac:dyDescent="0.3">
      <c r="A931" s="4"/>
      <c r="B931" s="4"/>
    </row>
    <row r="932" spans="1:2" ht="15.75" customHeight="1" x14ac:dyDescent="0.3">
      <c r="A932" s="4"/>
      <c r="B932" s="4"/>
    </row>
    <row r="933" spans="1:2" ht="15.75" customHeight="1" x14ac:dyDescent="0.3">
      <c r="A933" s="4"/>
      <c r="B933" s="4"/>
    </row>
    <row r="934" spans="1:2" ht="15.75" customHeight="1" x14ac:dyDescent="0.3">
      <c r="A934" s="4"/>
      <c r="B934" s="4"/>
    </row>
    <row r="935" spans="1:2" ht="15.75" customHeight="1" x14ac:dyDescent="0.3">
      <c r="A935" s="4"/>
      <c r="B935" s="4"/>
    </row>
    <row r="936" spans="1:2" ht="15.75" customHeight="1" x14ac:dyDescent="0.3">
      <c r="A936" s="4"/>
      <c r="B936" s="4"/>
    </row>
    <row r="937" spans="1:2" ht="15.75" customHeight="1" x14ac:dyDescent="0.3">
      <c r="A937" s="4"/>
      <c r="B937" s="4"/>
    </row>
    <row r="938" spans="1:2" ht="15.75" customHeight="1" x14ac:dyDescent="0.3">
      <c r="A938" s="4"/>
      <c r="B938" s="4"/>
    </row>
    <row r="939" spans="1:2" ht="15.75" customHeight="1" x14ac:dyDescent="0.3">
      <c r="A939" s="4"/>
      <c r="B939" s="4"/>
    </row>
    <row r="940" spans="1:2" ht="15.75" customHeight="1" x14ac:dyDescent="0.3">
      <c r="A940" s="4"/>
      <c r="B940" s="4"/>
    </row>
    <row r="941" spans="1:2" ht="15.75" customHeight="1" x14ac:dyDescent="0.3">
      <c r="A941" s="4"/>
      <c r="B941" s="4"/>
    </row>
    <row r="942" spans="1:2" ht="15.75" customHeight="1" x14ac:dyDescent="0.3">
      <c r="A942" s="4"/>
      <c r="B942" s="4"/>
    </row>
    <row r="943" spans="1:2" ht="15.75" customHeight="1" x14ac:dyDescent="0.3">
      <c r="A943" s="4"/>
      <c r="B943" s="4"/>
    </row>
    <row r="944" spans="1:2" ht="15.75" customHeight="1" x14ac:dyDescent="0.3">
      <c r="A944" s="4"/>
      <c r="B944" s="4"/>
    </row>
    <row r="945" spans="1:2" ht="15.75" customHeight="1" x14ac:dyDescent="0.3">
      <c r="A945" s="4"/>
      <c r="B945" s="4"/>
    </row>
    <row r="946" spans="1:2" ht="15.75" customHeight="1" x14ac:dyDescent="0.3">
      <c r="A946" s="4"/>
      <c r="B946" s="4"/>
    </row>
    <row r="947" spans="1:2" ht="15.75" customHeight="1" x14ac:dyDescent="0.3">
      <c r="A947" s="4"/>
      <c r="B947" s="4"/>
    </row>
    <row r="948" spans="1:2" ht="15.75" customHeight="1" x14ac:dyDescent="0.3">
      <c r="A948" s="4"/>
      <c r="B948" s="4"/>
    </row>
    <row r="949" spans="1:2" ht="15.75" customHeight="1" x14ac:dyDescent="0.3">
      <c r="A949" s="4"/>
      <c r="B949" s="4"/>
    </row>
    <row r="950" spans="1:2" ht="15.75" customHeight="1" x14ac:dyDescent="0.3">
      <c r="A950" s="4"/>
      <c r="B950" s="4"/>
    </row>
    <row r="951" spans="1:2" ht="15.75" customHeight="1" x14ac:dyDescent="0.3">
      <c r="A951" s="4"/>
      <c r="B951" s="4"/>
    </row>
    <row r="952" spans="1:2" ht="15.75" customHeight="1" x14ac:dyDescent="0.3">
      <c r="A952" s="4"/>
      <c r="B952" s="4"/>
    </row>
    <row r="953" spans="1:2" ht="15.75" customHeight="1" x14ac:dyDescent="0.3">
      <c r="A953" s="4"/>
      <c r="B953" s="4"/>
    </row>
    <row r="954" spans="1:2" ht="15.75" customHeight="1" x14ac:dyDescent="0.3">
      <c r="A954" s="4"/>
      <c r="B954" s="4"/>
    </row>
    <row r="955" spans="1:2" ht="15.75" customHeight="1" x14ac:dyDescent="0.3">
      <c r="A955" s="4"/>
      <c r="B955" s="4"/>
    </row>
    <row r="956" spans="1:2" ht="15.75" customHeight="1" x14ac:dyDescent="0.3">
      <c r="A956" s="4"/>
      <c r="B956" s="4"/>
    </row>
    <row r="957" spans="1:2" ht="15.75" customHeight="1" x14ac:dyDescent="0.3">
      <c r="A957" s="4"/>
      <c r="B957" s="4"/>
    </row>
    <row r="958" spans="1:2" ht="15.75" customHeight="1" x14ac:dyDescent="0.3">
      <c r="A958" s="4"/>
      <c r="B958" s="4"/>
    </row>
    <row r="959" spans="1:2" ht="15.75" customHeight="1" x14ac:dyDescent="0.3">
      <c r="A959" s="4"/>
      <c r="B959" s="4"/>
    </row>
    <row r="960" spans="1:2" ht="15.75" customHeight="1" x14ac:dyDescent="0.3">
      <c r="A960" s="4"/>
      <c r="B960" s="4"/>
    </row>
    <row r="961" spans="1:2" ht="15.75" customHeight="1" x14ac:dyDescent="0.3">
      <c r="A961" s="4"/>
      <c r="B961" s="4"/>
    </row>
    <row r="962" spans="1:2" ht="15.75" customHeight="1" x14ac:dyDescent="0.3">
      <c r="A962" s="4"/>
      <c r="B962" s="4"/>
    </row>
    <row r="963" spans="1:2" ht="15.75" customHeight="1" x14ac:dyDescent="0.3">
      <c r="A963" s="4"/>
      <c r="B963" s="4"/>
    </row>
    <row r="964" spans="1:2" ht="15.75" customHeight="1" x14ac:dyDescent="0.3">
      <c r="A964" s="4"/>
      <c r="B964" s="4"/>
    </row>
    <row r="965" spans="1:2" ht="15.75" customHeight="1" x14ac:dyDescent="0.3">
      <c r="A965" s="4"/>
      <c r="B965" s="4"/>
    </row>
    <row r="966" spans="1:2" ht="15.75" customHeight="1" x14ac:dyDescent="0.3">
      <c r="A966" s="4"/>
      <c r="B966" s="4"/>
    </row>
    <row r="967" spans="1:2" ht="15.75" customHeight="1" x14ac:dyDescent="0.3">
      <c r="A967" s="4"/>
      <c r="B967" s="4"/>
    </row>
    <row r="968" spans="1:2" ht="15.75" customHeight="1" x14ac:dyDescent="0.3">
      <c r="A968" s="4"/>
      <c r="B968" s="4"/>
    </row>
    <row r="969" spans="1:2" ht="15.75" customHeight="1" x14ac:dyDescent="0.3">
      <c r="A969" s="4"/>
      <c r="B969" s="4"/>
    </row>
    <row r="970" spans="1:2" ht="15.75" customHeight="1" x14ac:dyDescent="0.3">
      <c r="A970" s="4"/>
      <c r="B970" s="4"/>
    </row>
    <row r="971" spans="1:2" ht="15.75" customHeight="1" x14ac:dyDescent="0.3">
      <c r="A971" s="4"/>
      <c r="B971" s="4"/>
    </row>
    <row r="972" spans="1:2" ht="15.75" customHeight="1" x14ac:dyDescent="0.3">
      <c r="A972" s="4"/>
      <c r="B972" s="4"/>
    </row>
    <row r="973" spans="1:2" ht="15.75" customHeight="1" x14ac:dyDescent="0.3">
      <c r="A973" s="4"/>
      <c r="B973" s="4"/>
    </row>
    <row r="974" spans="1:2" ht="15.75" customHeight="1" x14ac:dyDescent="0.3">
      <c r="A974" s="4"/>
      <c r="B974" s="4"/>
    </row>
    <row r="975" spans="1:2" ht="15.75" customHeight="1" x14ac:dyDescent="0.3">
      <c r="A975" s="4"/>
      <c r="B975" s="4"/>
    </row>
    <row r="976" spans="1:2" ht="15.75" customHeight="1" x14ac:dyDescent="0.3">
      <c r="A976" s="4"/>
      <c r="B976" s="4"/>
    </row>
    <row r="977" spans="1:2" ht="15.75" customHeight="1" x14ac:dyDescent="0.3">
      <c r="A977" s="4"/>
      <c r="B977" s="4"/>
    </row>
    <row r="978" spans="1:2" ht="15.75" customHeight="1" x14ac:dyDescent="0.3">
      <c r="A978" s="4"/>
      <c r="B978" s="4"/>
    </row>
    <row r="979" spans="1:2" ht="15.75" customHeight="1" x14ac:dyDescent="0.3">
      <c r="A979" s="4"/>
      <c r="B979" s="4"/>
    </row>
    <row r="980" spans="1:2" ht="15.75" customHeight="1" x14ac:dyDescent="0.3">
      <c r="A980" s="4"/>
      <c r="B980" s="4"/>
    </row>
    <row r="981" spans="1:2" ht="15.75" customHeight="1" x14ac:dyDescent="0.3">
      <c r="A981" s="4"/>
      <c r="B981" s="4"/>
    </row>
    <row r="982" spans="1:2" ht="15.75" customHeight="1" x14ac:dyDescent="0.3">
      <c r="A982" s="4"/>
      <c r="B982" s="4"/>
    </row>
    <row r="983" spans="1:2" ht="15.75" customHeight="1" x14ac:dyDescent="0.3">
      <c r="A983" s="4"/>
      <c r="B983" s="4"/>
    </row>
    <row r="984" spans="1:2" ht="15.75" customHeight="1" x14ac:dyDescent="0.3">
      <c r="A984" s="4"/>
      <c r="B984" s="4"/>
    </row>
    <row r="985" spans="1:2" ht="15.75" customHeight="1" x14ac:dyDescent="0.3">
      <c r="A985" s="4"/>
      <c r="B985" s="4"/>
    </row>
    <row r="986" spans="1:2" ht="15.75" customHeight="1" x14ac:dyDescent="0.3">
      <c r="A986" s="4"/>
      <c r="B986" s="4"/>
    </row>
    <row r="987" spans="1:2" ht="15.75" customHeight="1" x14ac:dyDescent="0.3">
      <c r="A987" s="4"/>
      <c r="B987" s="4"/>
    </row>
    <row r="988" spans="1:2" ht="15.75" customHeight="1" x14ac:dyDescent="0.3">
      <c r="A988" s="4"/>
      <c r="B988" s="4"/>
    </row>
    <row r="989" spans="1:2" ht="15.75" customHeight="1" x14ac:dyDescent="0.3">
      <c r="A989" s="4"/>
      <c r="B989" s="4"/>
    </row>
    <row r="990" spans="1:2" ht="15.75" customHeight="1" x14ac:dyDescent="0.3">
      <c r="A990" s="4"/>
      <c r="B990" s="4"/>
    </row>
    <row r="991" spans="1:2" ht="15.75" customHeight="1" x14ac:dyDescent="0.3">
      <c r="A991" s="4"/>
      <c r="B991" s="4"/>
    </row>
    <row r="992" spans="1:2" ht="15.75" customHeight="1" x14ac:dyDescent="0.3">
      <c r="A992" s="4"/>
      <c r="B992" s="4"/>
    </row>
    <row r="993" spans="1:2" ht="15.75" customHeight="1" x14ac:dyDescent="0.3">
      <c r="A993" s="4"/>
      <c r="B993" s="4"/>
    </row>
    <row r="994" spans="1:2" ht="15.75" customHeight="1" x14ac:dyDescent="0.3">
      <c r="A994" s="4"/>
      <c r="B994" s="4"/>
    </row>
    <row r="995" spans="1:2" ht="15.75" customHeight="1" x14ac:dyDescent="0.3">
      <c r="A995" s="4"/>
      <c r="B995" s="4"/>
    </row>
    <row r="996" spans="1:2" ht="15.75" customHeight="1" x14ac:dyDescent="0.3">
      <c r="A996" s="4"/>
      <c r="B996" s="4"/>
    </row>
    <row r="997" spans="1:2" ht="15.75" customHeight="1" x14ac:dyDescent="0.3">
      <c r="A997" s="4"/>
      <c r="B997" s="4"/>
    </row>
    <row r="998" spans="1:2" ht="15.75" customHeight="1" x14ac:dyDescent="0.3">
      <c r="A998" s="4"/>
      <c r="B998" s="4"/>
    </row>
    <row r="999" spans="1:2" ht="15.75" customHeight="1" x14ac:dyDescent="0.3">
      <c r="A999" s="4"/>
      <c r="B999" s="4"/>
    </row>
    <row r="1000" spans="1:2" ht="15.75" customHeight="1" x14ac:dyDescent="0.3">
      <c r="A1000" s="4"/>
      <c r="B1000" s="4"/>
    </row>
  </sheetData>
  <mergeCells count="1">
    <mergeCell ref="A1:C1"/>
  </mergeCells>
  <phoneticPr fontId="14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ySplit="1" topLeftCell="A38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" customWidth="1"/>
    <col min="2" max="2" width="22" customWidth="1"/>
    <col min="3" max="3" width="15" customWidth="1"/>
    <col min="4" max="4" width="10" customWidth="1"/>
    <col min="5" max="5" width="30" customWidth="1"/>
    <col min="6" max="6" width="60" customWidth="1"/>
    <col min="7" max="7" width="10" customWidth="1"/>
    <col min="8" max="9" width="12" customWidth="1"/>
    <col min="10" max="10" width="10" customWidth="1"/>
    <col min="11" max="11" width="12" customWidth="1"/>
    <col min="12" max="13" width="11" customWidth="1"/>
    <col min="14" max="15" width="28" customWidth="1"/>
    <col min="16" max="26" width="8.6640625" customWidth="1"/>
  </cols>
  <sheetData>
    <row r="1" spans="1:26" ht="32.25" customHeight="1" x14ac:dyDescent="0.3">
      <c r="A1" s="6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7" t="s">
        <v>96</v>
      </c>
    </row>
    <row r="2" spans="1:26" ht="48.75" customHeight="1" x14ac:dyDescent="0.3">
      <c r="A2" s="8" t="s">
        <v>97</v>
      </c>
      <c r="B2" s="8" t="s">
        <v>98</v>
      </c>
      <c r="C2" s="9" t="s">
        <v>99</v>
      </c>
      <c r="D2" s="8" t="s">
        <v>100</v>
      </c>
      <c r="E2" s="8" t="s">
        <v>101</v>
      </c>
      <c r="F2" s="8" t="s">
        <v>102</v>
      </c>
      <c r="G2" s="9" t="s">
        <v>40</v>
      </c>
      <c r="H2" s="8"/>
      <c r="I2" s="8" t="s">
        <v>103</v>
      </c>
      <c r="J2" s="8">
        <v>0.2</v>
      </c>
      <c r="K2" s="9" t="s">
        <v>35</v>
      </c>
      <c r="L2" s="8"/>
      <c r="M2" s="8"/>
      <c r="N2" s="8" t="s">
        <v>104</v>
      </c>
      <c r="O2" s="8" t="s">
        <v>105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9.25" customHeight="1" x14ac:dyDescent="0.3">
      <c r="A3" s="8" t="s">
        <v>106</v>
      </c>
      <c r="B3" s="8" t="s">
        <v>98</v>
      </c>
      <c r="C3" s="9" t="s">
        <v>107</v>
      </c>
      <c r="D3" s="8" t="s">
        <v>100</v>
      </c>
      <c r="E3" s="8" t="s">
        <v>108</v>
      </c>
      <c r="F3" s="8" t="s">
        <v>109</v>
      </c>
      <c r="G3" s="9" t="s">
        <v>40</v>
      </c>
      <c r="H3" s="8" t="s">
        <v>97</v>
      </c>
      <c r="I3" s="8" t="s">
        <v>103</v>
      </c>
      <c r="J3" s="8">
        <v>0.2</v>
      </c>
      <c r="K3" s="9" t="s">
        <v>35</v>
      </c>
      <c r="L3" s="8"/>
      <c r="M3" s="8"/>
      <c r="N3" s="9" t="s">
        <v>110</v>
      </c>
      <c r="O3" s="8" t="s">
        <v>111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9.25" customHeight="1" x14ac:dyDescent="0.3">
      <c r="A4" s="8" t="s">
        <v>112</v>
      </c>
      <c r="B4" s="8" t="s">
        <v>98</v>
      </c>
      <c r="C4" s="9" t="s">
        <v>113</v>
      </c>
      <c r="D4" s="8" t="s">
        <v>114</v>
      </c>
      <c r="E4" s="8" t="s">
        <v>115</v>
      </c>
      <c r="F4" s="9" t="s">
        <v>116</v>
      </c>
      <c r="G4" s="9" t="s">
        <v>40</v>
      </c>
      <c r="H4" s="8" t="s">
        <v>106</v>
      </c>
      <c r="I4" s="8" t="s">
        <v>103</v>
      </c>
      <c r="J4" s="8" t="s">
        <v>103</v>
      </c>
      <c r="K4" s="9" t="s">
        <v>35</v>
      </c>
      <c r="L4" s="8"/>
      <c r="M4" s="8"/>
      <c r="N4" s="8" t="s">
        <v>117</v>
      </c>
      <c r="O4" s="8" t="s">
        <v>118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43.5" customHeight="1" x14ac:dyDescent="0.3">
      <c r="A5" s="8" t="s">
        <v>119</v>
      </c>
      <c r="B5" s="8" t="s">
        <v>98</v>
      </c>
      <c r="C5" s="9" t="s">
        <v>113</v>
      </c>
      <c r="D5" s="8" t="s">
        <v>114</v>
      </c>
      <c r="E5" s="8" t="s">
        <v>120</v>
      </c>
      <c r="F5" s="8" t="s">
        <v>121</v>
      </c>
      <c r="G5" s="9" t="s">
        <v>40</v>
      </c>
      <c r="H5" s="8" t="s">
        <v>112</v>
      </c>
      <c r="I5" s="8" t="s">
        <v>103</v>
      </c>
      <c r="J5" s="8" t="s">
        <v>103</v>
      </c>
      <c r="K5" s="9" t="s">
        <v>35</v>
      </c>
      <c r="L5" s="8"/>
      <c r="M5" s="8"/>
      <c r="N5" s="8" t="s">
        <v>122</v>
      </c>
      <c r="O5" s="8" t="s">
        <v>123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9.25" customHeight="1" x14ac:dyDescent="0.3">
      <c r="A6" s="11" t="s">
        <v>124</v>
      </c>
      <c r="B6" s="11" t="s">
        <v>98</v>
      </c>
      <c r="C6" s="12" t="s">
        <v>125</v>
      </c>
      <c r="D6" s="11" t="s">
        <v>100</v>
      </c>
      <c r="E6" s="11" t="s">
        <v>126</v>
      </c>
      <c r="F6" s="11" t="s">
        <v>127</v>
      </c>
      <c r="G6" s="12" t="s">
        <v>40</v>
      </c>
      <c r="H6" s="11" t="s">
        <v>128</v>
      </c>
      <c r="I6" s="12" t="s">
        <v>129</v>
      </c>
      <c r="J6" s="11" t="s">
        <v>103</v>
      </c>
      <c r="K6" s="12" t="s">
        <v>35</v>
      </c>
      <c r="L6" s="11"/>
      <c r="M6" s="11"/>
      <c r="N6" s="11" t="s">
        <v>130</v>
      </c>
      <c r="O6" s="11" t="s">
        <v>131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9.25" customHeight="1" x14ac:dyDescent="0.3">
      <c r="A7" s="11" t="s">
        <v>132</v>
      </c>
      <c r="B7" s="11" t="s">
        <v>98</v>
      </c>
      <c r="C7" s="12" t="s">
        <v>133</v>
      </c>
      <c r="D7" s="11" t="s">
        <v>100</v>
      </c>
      <c r="E7" s="11" t="s">
        <v>134</v>
      </c>
      <c r="F7" s="11" t="s">
        <v>135</v>
      </c>
      <c r="G7" s="12" t="s">
        <v>40</v>
      </c>
      <c r="H7" s="11" t="s">
        <v>136</v>
      </c>
      <c r="I7" s="11" t="s">
        <v>103</v>
      </c>
      <c r="J7" s="11">
        <v>0.5</v>
      </c>
      <c r="K7" s="12" t="s">
        <v>35</v>
      </c>
      <c r="L7" s="11"/>
      <c r="M7" s="11"/>
      <c r="N7" s="12" t="s">
        <v>137</v>
      </c>
      <c r="O7" s="12" t="s">
        <v>138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9.25" customHeight="1" x14ac:dyDescent="0.3">
      <c r="A8" s="8" t="s">
        <v>139</v>
      </c>
      <c r="B8" s="8" t="s">
        <v>98</v>
      </c>
      <c r="C8" s="9" t="s">
        <v>113</v>
      </c>
      <c r="D8" s="8" t="s">
        <v>114</v>
      </c>
      <c r="E8" s="8" t="s">
        <v>140</v>
      </c>
      <c r="F8" s="8" t="s">
        <v>141</v>
      </c>
      <c r="G8" s="9" t="s">
        <v>40</v>
      </c>
      <c r="H8" s="8" t="s">
        <v>119</v>
      </c>
      <c r="I8" s="8" t="s">
        <v>103</v>
      </c>
      <c r="J8" s="8">
        <v>0.3</v>
      </c>
      <c r="K8" s="9" t="s">
        <v>35</v>
      </c>
      <c r="L8" s="8"/>
      <c r="M8" s="8"/>
      <c r="N8" s="8" t="s">
        <v>142</v>
      </c>
      <c r="O8" s="8" t="s">
        <v>143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3.25" customHeight="1" x14ac:dyDescent="0.3">
      <c r="A9" s="8" t="s">
        <v>144</v>
      </c>
      <c r="B9" s="8" t="s">
        <v>98</v>
      </c>
      <c r="C9" s="9" t="s">
        <v>145</v>
      </c>
      <c r="D9" s="8" t="s">
        <v>146</v>
      </c>
      <c r="E9" s="9" t="s">
        <v>147</v>
      </c>
      <c r="F9" s="9" t="s">
        <v>148</v>
      </c>
      <c r="G9" s="9" t="s">
        <v>40</v>
      </c>
      <c r="H9" s="8"/>
      <c r="I9" s="8" t="s">
        <v>103</v>
      </c>
      <c r="J9" s="8">
        <v>0.1</v>
      </c>
      <c r="K9" s="9" t="s">
        <v>35</v>
      </c>
      <c r="L9" s="8"/>
      <c r="M9" s="8"/>
      <c r="N9" s="9" t="s">
        <v>149</v>
      </c>
      <c r="O9" s="8" t="s">
        <v>150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43.5" customHeight="1" x14ac:dyDescent="0.3">
      <c r="A10" s="8" t="s">
        <v>151</v>
      </c>
      <c r="B10" s="8" t="s">
        <v>98</v>
      </c>
      <c r="C10" s="9" t="s">
        <v>152</v>
      </c>
      <c r="D10" s="8" t="s">
        <v>153</v>
      </c>
      <c r="E10" s="8" t="s">
        <v>154</v>
      </c>
      <c r="F10" s="8" t="s">
        <v>155</v>
      </c>
      <c r="G10" s="9" t="s">
        <v>40</v>
      </c>
      <c r="H10" s="8" t="s">
        <v>119</v>
      </c>
      <c r="I10" s="8" t="s">
        <v>156</v>
      </c>
      <c r="J10" s="8">
        <v>3</v>
      </c>
      <c r="K10" s="9" t="s">
        <v>35</v>
      </c>
      <c r="L10" s="8"/>
      <c r="M10" s="8"/>
      <c r="N10" s="8" t="s">
        <v>157</v>
      </c>
      <c r="O10" s="8" t="s">
        <v>158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9.25" customHeight="1" x14ac:dyDescent="0.3">
      <c r="A11" s="8" t="s">
        <v>159</v>
      </c>
      <c r="B11" s="8" t="s">
        <v>98</v>
      </c>
      <c r="C11" s="9" t="s">
        <v>160</v>
      </c>
      <c r="D11" s="8" t="s">
        <v>161</v>
      </c>
      <c r="E11" s="8" t="s">
        <v>162</v>
      </c>
      <c r="F11" s="8" t="s">
        <v>163</v>
      </c>
      <c r="G11" s="9" t="s">
        <v>40</v>
      </c>
      <c r="H11" s="8" t="s">
        <v>97</v>
      </c>
      <c r="I11" s="9" t="s">
        <v>129</v>
      </c>
      <c r="J11" s="8">
        <v>0.5</v>
      </c>
      <c r="K11" s="9" t="s">
        <v>35</v>
      </c>
      <c r="L11" s="8"/>
      <c r="M11" s="8"/>
      <c r="N11" s="8" t="s">
        <v>164</v>
      </c>
      <c r="O11" s="8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9.25" customHeight="1" x14ac:dyDescent="0.3">
      <c r="A12" s="14" t="s">
        <v>165</v>
      </c>
      <c r="B12" s="14" t="s">
        <v>98</v>
      </c>
      <c r="C12" s="15" t="s">
        <v>133</v>
      </c>
      <c r="D12" s="14" t="s">
        <v>161</v>
      </c>
      <c r="E12" s="14" t="s">
        <v>166</v>
      </c>
      <c r="F12" s="14" t="s">
        <v>167</v>
      </c>
      <c r="G12" s="15" t="s">
        <v>40</v>
      </c>
      <c r="H12" s="14" t="s">
        <v>159</v>
      </c>
      <c r="I12" s="14" t="s">
        <v>156</v>
      </c>
      <c r="J12" s="14">
        <v>0.5</v>
      </c>
      <c r="K12" s="15" t="s">
        <v>35</v>
      </c>
      <c r="L12" s="14"/>
      <c r="M12" s="14"/>
      <c r="N12" s="14" t="s">
        <v>168</v>
      </c>
      <c r="O12" s="14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9.25" customHeight="1" x14ac:dyDescent="0.3">
      <c r="A13" s="14" t="s">
        <v>169</v>
      </c>
      <c r="B13" s="14" t="s">
        <v>98</v>
      </c>
      <c r="C13" s="15" t="s">
        <v>133</v>
      </c>
      <c r="D13" s="14" t="s">
        <v>161</v>
      </c>
      <c r="E13" s="14" t="s">
        <v>170</v>
      </c>
      <c r="F13" s="15" t="s">
        <v>171</v>
      </c>
      <c r="G13" s="15" t="s">
        <v>40</v>
      </c>
      <c r="H13" s="14" t="s">
        <v>159</v>
      </c>
      <c r="I13" s="14" t="s">
        <v>156</v>
      </c>
      <c r="J13" s="14">
        <v>0.5</v>
      </c>
      <c r="K13" s="15" t="s">
        <v>35</v>
      </c>
      <c r="L13" s="14"/>
      <c r="M13" s="14"/>
      <c r="N13" s="14" t="s">
        <v>172</v>
      </c>
      <c r="O13" s="1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9.25" customHeight="1" x14ac:dyDescent="0.3">
      <c r="A14" s="14" t="s">
        <v>173</v>
      </c>
      <c r="B14" s="14" t="s">
        <v>98</v>
      </c>
      <c r="C14" s="15" t="s">
        <v>133</v>
      </c>
      <c r="D14" s="14" t="s">
        <v>100</v>
      </c>
      <c r="E14" s="14" t="s">
        <v>174</v>
      </c>
      <c r="F14" s="15" t="s">
        <v>175</v>
      </c>
      <c r="G14" s="15" t="s">
        <v>40</v>
      </c>
      <c r="H14" s="14" t="s">
        <v>159</v>
      </c>
      <c r="I14" s="14" t="s">
        <v>103</v>
      </c>
      <c r="J14" s="14">
        <v>0.5</v>
      </c>
      <c r="K14" s="15" t="s">
        <v>35</v>
      </c>
      <c r="L14" s="14"/>
      <c r="M14" s="14"/>
      <c r="N14" s="14" t="s">
        <v>176</v>
      </c>
      <c r="O14" s="14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9.25" customHeight="1" x14ac:dyDescent="0.3">
      <c r="A15" s="8" t="s">
        <v>177</v>
      </c>
      <c r="B15" s="8" t="s">
        <v>98</v>
      </c>
      <c r="C15" s="9" t="s">
        <v>178</v>
      </c>
      <c r="D15" s="8" t="s">
        <v>100</v>
      </c>
      <c r="E15" s="9" t="s">
        <v>179</v>
      </c>
      <c r="F15" s="8" t="s">
        <v>180</v>
      </c>
      <c r="G15" s="9" t="s">
        <v>40</v>
      </c>
      <c r="H15" s="8" t="s">
        <v>159</v>
      </c>
      <c r="I15" s="8" t="s">
        <v>156</v>
      </c>
      <c r="J15" s="8">
        <v>0.5</v>
      </c>
      <c r="K15" s="9" t="s">
        <v>35</v>
      </c>
      <c r="L15" s="8"/>
      <c r="M15" s="8"/>
      <c r="N15" s="9" t="s">
        <v>181</v>
      </c>
      <c r="O15" s="8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6.25" customHeight="1" x14ac:dyDescent="0.3">
      <c r="A16" s="14" t="s">
        <v>182</v>
      </c>
      <c r="B16" s="14" t="s">
        <v>98</v>
      </c>
      <c r="C16" s="14" t="s">
        <v>183</v>
      </c>
      <c r="D16" s="14" t="s">
        <v>100</v>
      </c>
      <c r="E16" s="15" t="s">
        <v>184</v>
      </c>
      <c r="F16" s="14" t="s">
        <v>185</v>
      </c>
      <c r="G16" s="15" t="s">
        <v>40</v>
      </c>
      <c r="H16" s="14" t="s">
        <v>177</v>
      </c>
      <c r="I16" s="14" t="s">
        <v>156</v>
      </c>
      <c r="J16" s="14">
        <v>1</v>
      </c>
      <c r="K16" s="15" t="s">
        <v>35</v>
      </c>
      <c r="L16" s="14"/>
      <c r="M16" s="14"/>
      <c r="N16" s="14" t="s">
        <v>186</v>
      </c>
      <c r="O16" s="14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40.5" customHeight="1" x14ac:dyDescent="0.3">
      <c r="A17" s="14" t="s">
        <v>187</v>
      </c>
      <c r="B17" s="14" t="s">
        <v>98</v>
      </c>
      <c r="C17" s="15" t="s">
        <v>188</v>
      </c>
      <c r="D17" s="14" t="s">
        <v>153</v>
      </c>
      <c r="E17" s="14" t="s">
        <v>189</v>
      </c>
      <c r="F17" s="14" t="s">
        <v>190</v>
      </c>
      <c r="G17" s="15" t="s">
        <v>40</v>
      </c>
      <c r="H17" s="14" t="s">
        <v>191</v>
      </c>
      <c r="I17" s="14" t="s">
        <v>156</v>
      </c>
      <c r="J17" s="14">
        <v>2</v>
      </c>
      <c r="K17" s="15" t="s">
        <v>35</v>
      </c>
      <c r="L17" s="14"/>
      <c r="M17" s="14"/>
      <c r="N17" s="14" t="s">
        <v>192</v>
      </c>
      <c r="O17" s="14" t="s">
        <v>193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6.25" customHeight="1" x14ac:dyDescent="0.3">
      <c r="A18" s="14" t="s">
        <v>194</v>
      </c>
      <c r="B18" s="14" t="s">
        <v>98</v>
      </c>
      <c r="C18" s="14" t="s">
        <v>195</v>
      </c>
      <c r="D18" s="14" t="s">
        <v>114</v>
      </c>
      <c r="E18" s="14" t="s">
        <v>196</v>
      </c>
      <c r="F18" s="14" t="s">
        <v>197</v>
      </c>
      <c r="G18" s="15" t="s">
        <v>40</v>
      </c>
      <c r="H18" s="14" t="s">
        <v>198</v>
      </c>
      <c r="I18" s="14" t="s">
        <v>103</v>
      </c>
      <c r="J18" s="14" t="s">
        <v>103</v>
      </c>
      <c r="K18" s="15" t="s">
        <v>35</v>
      </c>
      <c r="L18" s="14"/>
      <c r="M18" s="14"/>
      <c r="N18" s="14" t="s">
        <v>199</v>
      </c>
      <c r="O18" s="15" t="s">
        <v>200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6.25" customHeight="1" x14ac:dyDescent="0.3">
      <c r="A19" s="8" t="s">
        <v>201</v>
      </c>
      <c r="B19" s="8" t="s">
        <v>98</v>
      </c>
      <c r="C19" s="9" t="s">
        <v>202</v>
      </c>
      <c r="D19" s="8" t="s">
        <v>114</v>
      </c>
      <c r="E19" s="9" t="s">
        <v>203</v>
      </c>
      <c r="F19" s="8" t="s">
        <v>204</v>
      </c>
      <c r="G19" s="9" t="s">
        <v>42</v>
      </c>
      <c r="H19" s="8" t="s">
        <v>159</v>
      </c>
      <c r="I19" s="8" t="s">
        <v>156</v>
      </c>
      <c r="J19" s="8">
        <v>0.5</v>
      </c>
      <c r="K19" s="9" t="s">
        <v>35</v>
      </c>
      <c r="L19" s="8"/>
      <c r="M19" s="8"/>
      <c r="N19" s="8" t="s">
        <v>205</v>
      </c>
      <c r="O19" s="8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40.5" customHeight="1" x14ac:dyDescent="0.3">
      <c r="A20" s="14" t="s">
        <v>191</v>
      </c>
      <c r="B20" s="14" t="s">
        <v>98</v>
      </c>
      <c r="C20" s="15" t="s">
        <v>206</v>
      </c>
      <c r="D20" s="14" t="s">
        <v>100</v>
      </c>
      <c r="E20" s="15" t="s">
        <v>207</v>
      </c>
      <c r="F20" s="14" t="s">
        <v>208</v>
      </c>
      <c r="G20" s="15" t="s">
        <v>42</v>
      </c>
      <c r="H20" s="14" t="s">
        <v>177</v>
      </c>
      <c r="I20" s="14" t="s">
        <v>156</v>
      </c>
      <c r="J20" s="14">
        <v>1</v>
      </c>
      <c r="K20" s="15" t="s">
        <v>35</v>
      </c>
      <c r="L20" s="14"/>
      <c r="M20" s="14"/>
      <c r="N20" s="14" t="s">
        <v>209</v>
      </c>
      <c r="O20" s="14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6.25" customHeight="1" x14ac:dyDescent="0.3">
      <c r="A21" s="8" t="s">
        <v>210</v>
      </c>
      <c r="B21" s="8" t="s">
        <v>211</v>
      </c>
      <c r="C21" s="9" t="s">
        <v>212</v>
      </c>
      <c r="D21" s="8" t="s">
        <v>213</v>
      </c>
      <c r="E21" s="8" t="s">
        <v>214</v>
      </c>
      <c r="F21" s="8" t="s">
        <v>215</v>
      </c>
      <c r="G21" s="9" t="s">
        <v>40</v>
      </c>
      <c r="H21" s="8" t="s">
        <v>182</v>
      </c>
      <c r="I21" s="8" t="s">
        <v>156</v>
      </c>
      <c r="J21" s="8">
        <v>2</v>
      </c>
      <c r="K21" s="9" t="s">
        <v>35</v>
      </c>
      <c r="L21" s="8"/>
      <c r="M21" s="8"/>
      <c r="N21" s="8" t="s">
        <v>216</v>
      </c>
      <c r="O21" s="8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6.25" customHeight="1" x14ac:dyDescent="0.3">
      <c r="A22" s="14" t="s">
        <v>217</v>
      </c>
      <c r="B22" s="14" t="s">
        <v>211</v>
      </c>
      <c r="C22" s="14" t="s">
        <v>218</v>
      </c>
      <c r="D22" s="14" t="s">
        <v>219</v>
      </c>
      <c r="E22" s="14" t="s">
        <v>220</v>
      </c>
      <c r="F22" s="14" t="s">
        <v>221</v>
      </c>
      <c r="G22" s="15" t="s">
        <v>40</v>
      </c>
      <c r="H22" s="14" t="s">
        <v>222</v>
      </c>
      <c r="I22" s="14" t="s">
        <v>156</v>
      </c>
      <c r="J22" s="14">
        <v>3</v>
      </c>
      <c r="K22" s="15" t="s">
        <v>35</v>
      </c>
      <c r="L22" s="14"/>
      <c r="M22" s="14"/>
      <c r="N22" s="14" t="s">
        <v>223</v>
      </c>
      <c r="O22" s="14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6.25" customHeight="1" x14ac:dyDescent="0.3">
      <c r="A23" s="14" t="s">
        <v>224</v>
      </c>
      <c r="B23" s="14" t="s">
        <v>211</v>
      </c>
      <c r="C23" s="14" t="s">
        <v>218</v>
      </c>
      <c r="D23" s="14" t="s">
        <v>225</v>
      </c>
      <c r="E23" s="15" t="s">
        <v>226</v>
      </c>
      <c r="F23" s="14" t="s">
        <v>227</v>
      </c>
      <c r="G23" s="15" t="s">
        <v>40</v>
      </c>
      <c r="H23" s="14" t="s">
        <v>217</v>
      </c>
      <c r="I23" s="14" t="s">
        <v>156</v>
      </c>
      <c r="J23" s="14">
        <v>1.5</v>
      </c>
      <c r="K23" s="15" t="s">
        <v>35</v>
      </c>
      <c r="L23" s="14"/>
      <c r="M23" s="14"/>
      <c r="N23" s="14" t="s">
        <v>228</v>
      </c>
      <c r="O23" s="14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9.25" customHeight="1" x14ac:dyDescent="0.3">
      <c r="A24" s="8" t="s">
        <v>229</v>
      </c>
      <c r="B24" s="8" t="s">
        <v>211</v>
      </c>
      <c r="C24" s="9" t="s">
        <v>230</v>
      </c>
      <c r="D24" s="8" t="s">
        <v>231</v>
      </c>
      <c r="E24" s="9" t="s">
        <v>232</v>
      </c>
      <c r="F24" s="8" t="s">
        <v>233</v>
      </c>
      <c r="G24" s="9" t="s">
        <v>40</v>
      </c>
      <c r="H24" s="8" t="s">
        <v>234</v>
      </c>
      <c r="I24" s="8" t="s">
        <v>156</v>
      </c>
      <c r="J24" s="8">
        <v>3</v>
      </c>
      <c r="K24" s="9" t="s">
        <v>35</v>
      </c>
      <c r="L24" s="8"/>
      <c r="M24" s="8"/>
      <c r="N24" s="8" t="s">
        <v>235</v>
      </c>
      <c r="O24" s="8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9.25" customHeight="1" x14ac:dyDescent="0.3">
      <c r="A25" s="14" t="s">
        <v>236</v>
      </c>
      <c r="B25" s="14" t="s">
        <v>211</v>
      </c>
      <c r="C25" s="15" t="s">
        <v>237</v>
      </c>
      <c r="D25" s="14" t="s">
        <v>238</v>
      </c>
      <c r="E25" s="15" t="s">
        <v>239</v>
      </c>
      <c r="F25" s="15" t="s">
        <v>240</v>
      </c>
      <c r="G25" s="15" t="s">
        <v>40</v>
      </c>
      <c r="H25" s="14" t="s">
        <v>229</v>
      </c>
      <c r="I25" s="14" t="s">
        <v>156</v>
      </c>
      <c r="J25" s="14">
        <v>2</v>
      </c>
      <c r="K25" s="15" t="s">
        <v>35</v>
      </c>
      <c r="L25" s="14"/>
      <c r="M25" s="14"/>
      <c r="N25" s="14" t="s">
        <v>241</v>
      </c>
      <c r="O25" s="14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9.25" customHeight="1" x14ac:dyDescent="0.3">
      <c r="A26" s="14" t="s">
        <v>242</v>
      </c>
      <c r="B26" s="14" t="s">
        <v>211</v>
      </c>
      <c r="C26" s="15" t="s">
        <v>243</v>
      </c>
      <c r="D26" s="14" t="s">
        <v>244</v>
      </c>
      <c r="E26" s="15" t="s">
        <v>245</v>
      </c>
      <c r="F26" s="14" t="s">
        <v>246</v>
      </c>
      <c r="G26" s="15" t="s">
        <v>40</v>
      </c>
      <c r="H26" s="14" t="s">
        <v>210</v>
      </c>
      <c r="I26" s="14" t="s">
        <v>156</v>
      </c>
      <c r="J26" s="14">
        <v>1.5</v>
      </c>
      <c r="K26" s="15" t="s">
        <v>35</v>
      </c>
      <c r="L26" s="14"/>
      <c r="M26" s="14"/>
      <c r="N26" s="14" t="s">
        <v>247</v>
      </c>
      <c r="O26" s="14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9.25" customHeight="1" x14ac:dyDescent="0.3">
      <c r="A27" s="14" t="s">
        <v>248</v>
      </c>
      <c r="B27" s="14" t="s">
        <v>211</v>
      </c>
      <c r="C27" s="15" t="s">
        <v>249</v>
      </c>
      <c r="D27" s="14" t="s">
        <v>250</v>
      </c>
      <c r="E27" s="14" t="s">
        <v>251</v>
      </c>
      <c r="F27" s="14" t="s">
        <v>252</v>
      </c>
      <c r="G27" s="15" t="s">
        <v>40</v>
      </c>
      <c r="H27" s="14" t="s">
        <v>253</v>
      </c>
      <c r="I27" s="14" t="s">
        <v>156</v>
      </c>
      <c r="J27" s="14">
        <v>2</v>
      </c>
      <c r="K27" s="15" t="s">
        <v>35</v>
      </c>
      <c r="L27" s="14"/>
      <c r="M27" s="14"/>
      <c r="N27" s="14" t="s">
        <v>254</v>
      </c>
      <c r="O27" s="14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9.25" customHeight="1" x14ac:dyDescent="0.3">
      <c r="A28" s="8" t="s">
        <v>255</v>
      </c>
      <c r="B28" s="8" t="s">
        <v>211</v>
      </c>
      <c r="C28" s="9" t="s">
        <v>256</v>
      </c>
      <c r="D28" s="8" t="s">
        <v>257</v>
      </c>
      <c r="E28" s="9" t="s">
        <v>258</v>
      </c>
      <c r="F28" s="8" t="s">
        <v>259</v>
      </c>
      <c r="G28" s="9" t="s">
        <v>42</v>
      </c>
      <c r="H28" s="8" t="s">
        <v>210</v>
      </c>
      <c r="I28" s="8" t="s">
        <v>156</v>
      </c>
      <c r="J28" s="8">
        <v>2</v>
      </c>
      <c r="K28" s="9" t="s">
        <v>35</v>
      </c>
      <c r="L28" s="8"/>
      <c r="M28" s="8"/>
      <c r="N28" s="8" t="s">
        <v>260</v>
      </c>
      <c r="O28" s="8" t="s">
        <v>261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29.25" customHeight="1" x14ac:dyDescent="0.3">
      <c r="A29" s="8" t="s">
        <v>262</v>
      </c>
      <c r="B29" s="8" t="s">
        <v>211</v>
      </c>
      <c r="C29" s="9" t="s">
        <v>256</v>
      </c>
      <c r="D29" s="8" t="s">
        <v>257</v>
      </c>
      <c r="E29" s="9" t="s">
        <v>263</v>
      </c>
      <c r="F29" s="8" t="s">
        <v>264</v>
      </c>
      <c r="G29" s="9" t="s">
        <v>42</v>
      </c>
      <c r="H29" s="8" t="s">
        <v>210</v>
      </c>
      <c r="I29" s="8" t="s">
        <v>156</v>
      </c>
      <c r="J29" s="8">
        <v>2</v>
      </c>
      <c r="K29" s="9" t="s">
        <v>35</v>
      </c>
      <c r="L29" s="8"/>
      <c r="M29" s="8"/>
      <c r="N29" s="8" t="s">
        <v>265</v>
      </c>
      <c r="O29" s="8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9.25" customHeight="1" x14ac:dyDescent="0.3">
      <c r="A30" s="8" t="s">
        <v>266</v>
      </c>
      <c r="B30" s="8" t="s">
        <v>211</v>
      </c>
      <c r="C30" s="9" t="s">
        <v>256</v>
      </c>
      <c r="D30" s="8" t="s">
        <v>257</v>
      </c>
      <c r="E30" s="9" t="s">
        <v>267</v>
      </c>
      <c r="F30" s="8" t="s">
        <v>268</v>
      </c>
      <c r="G30" s="9" t="s">
        <v>42</v>
      </c>
      <c r="H30" s="8" t="s">
        <v>210</v>
      </c>
      <c r="I30" s="8" t="s">
        <v>156</v>
      </c>
      <c r="J30" s="8">
        <v>1.5</v>
      </c>
      <c r="K30" s="9" t="s">
        <v>35</v>
      </c>
      <c r="L30" s="8"/>
      <c r="M30" s="8"/>
      <c r="N30" s="8" t="s">
        <v>269</v>
      </c>
      <c r="O30" s="8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9.25" customHeight="1" x14ac:dyDescent="0.3">
      <c r="A31" s="14" t="s">
        <v>270</v>
      </c>
      <c r="B31" s="14" t="s">
        <v>211</v>
      </c>
      <c r="C31" s="15" t="s">
        <v>256</v>
      </c>
      <c r="D31" s="14" t="s">
        <v>257</v>
      </c>
      <c r="E31" s="15" t="s">
        <v>271</v>
      </c>
      <c r="F31" s="14" t="s">
        <v>272</v>
      </c>
      <c r="G31" s="15" t="s">
        <v>42</v>
      </c>
      <c r="H31" s="14" t="s">
        <v>210</v>
      </c>
      <c r="I31" s="14" t="s">
        <v>156</v>
      </c>
      <c r="J31" s="14">
        <v>2</v>
      </c>
      <c r="K31" s="15" t="s">
        <v>35</v>
      </c>
      <c r="L31" s="14"/>
      <c r="M31" s="14"/>
      <c r="N31" s="14" t="s">
        <v>273</v>
      </c>
      <c r="O31" s="14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9.25" customHeight="1" x14ac:dyDescent="0.3">
      <c r="A32" s="14" t="s">
        <v>274</v>
      </c>
      <c r="B32" s="14" t="s">
        <v>211</v>
      </c>
      <c r="C32" s="15" t="s">
        <v>256</v>
      </c>
      <c r="D32" s="14" t="s">
        <v>257</v>
      </c>
      <c r="E32" s="15" t="s">
        <v>275</v>
      </c>
      <c r="F32" s="14" t="s">
        <v>276</v>
      </c>
      <c r="G32" s="15" t="s">
        <v>42</v>
      </c>
      <c r="H32" s="14" t="s">
        <v>210</v>
      </c>
      <c r="I32" s="14" t="s">
        <v>156</v>
      </c>
      <c r="J32" s="14">
        <v>1.5</v>
      </c>
      <c r="K32" s="15" t="s">
        <v>35</v>
      </c>
      <c r="L32" s="14"/>
      <c r="M32" s="14"/>
      <c r="N32" s="14" t="s">
        <v>277</v>
      </c>
      <c r="O32" s="14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9.25" customHeight="1" x14ac:dyDescent="0.3">
      <c r="A33" s="8" t="s">
        <v>278</v>
      </c>
      <c r="B33" s="8" t="s">
        <v>211</v>
      </c>
      <c r="C33" s="9" t="s">
        <v>256</v>
      </c>
      <c r="D33" s="8" t="s">
        <v>257</v>
      </c>
      <c r="E33" s="9" t="s">
        <v>279</v>
      </c>
      <c r="F33" s="8" t="s">
        <v>280</v>
      </c>
      <c r="G33" s="9" t="s">
        <v>42</v>
      </c>
      <c r="H33" s="8" t="s">
        <v>210</v>
      </c>
      <c r="I33" s="8" t="s">
        <v>156</v>
      </c>
      <c r="J33" s="8">
        <v>1</v>
      </c>
      <c r="K33" s="9" t="s">
        <v>35</v>
      </c>
      <c r="L33" s="8"/>
      <c r="M33" s="8"/>
      <c r="N33" s="8" t="s">
        <v>281</v>
      </c>
      <c r="O33" s="8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9.25" customHeight="1" x14ac:dyDescent="0.3">
      <c r="A34" s="11" t="s">
        <v>282</v>
      </c>
      <c r="B34" s="11" t="s">
        <v>211</v>
      </c>
      <c r="C34" s="11" t="s">
        <v>218</v>
      </c>
      <c r="D34" s="11" t="s">
        <v>283</v>
      </c>
      <c r="E34" s="12" t="s">
        <v>284</v>
      </c>
      <c r="F34" s="11" t="s">
        <v>285</v>
      </c>
      <c r="G34" s="12" t="s">
        <v>42</v>
      </c>
      <c r="H34" s="11" t="s">
        <v>224</v>
      </c>
      <c r="I34" s="11" t="s">
        <v>156</v>
      </c>
      <c r="J34" s="11">
        <v>1</v>
      </c>
      <c r="K34" s="12" t="s">
        <v>35</v>
      </c>
      <c r="L34" s="11"/>
      <c r="M34" s="11"/>
      <c r="N34" s="11" t="s">
        <v>286</v>
      </c>
      <c r="O34" s="11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9.25" customHeight="1" x14ac:dyDescent="0.3">
      <c r="A35" s="8" t="s">
        <v>287</v>
      </c>
      <c r="B35" s="8" t="s">
        <v>211</v>
      </c>
      <c r="C35" s="8" t="s">
        <v>218</v>
      </c>
      <c r="D35" s="8" t="s">
        <v>288</v>
      </c>
      <c r="E35" s="8" t="s">
        <v>289</v>
      </c>
      <c r="F35" s="8" t="s">
        <v>290</v>
      </c>
      <c r="G35" s="9" t="s">
        <v>42</v>
      </c>
      <c r="H35" s="8" t="s">
        <v>217</v>
      </c>
      <c r="I35" s="8" t="s">
        <v>156</v>
      </c>
      <c r="J35" s="8">
        <v>1</v>
      </c>
      <c r="K35" s="9" t="s">
        <v>35</v>
      </c>
      <c r="L35" s="8"/>
      <c r="M35" s="8"/>
      <c r="N35" s="8" t="s">
        <v>291</v>
      </c>
      <c r="O35" s="8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" customHeight="1" x14ac:dyDescent="0.3">
      <c r="A36" s="8" t="s">
        <v>292</v>
      </c>
      <c r="B36" s="8" t="s">
        <v>211</v>
      </c>
      <c r="C36" s="8" t="s">
        <v>293</v>
      </c>
      <c r="D36" s="8" t="s">
        <v>294</v>
      </c>
      <c r="E36" s="8" t="s">
        <v>295</v>
      </c>
      <c r="F36" s="8" t="s">
        <v>296</v>
      </c>
      <c r="G36" s="9" t="s">
        <v>42</v>
      </c>
      <c r="H36" s="8" t="s">
        <v>224</v>
      </c>
      <c r="I36" s="8" t="s">
        <v>156</v>
      </c>
      <c r="J36" s="8">
        <v>1</v>
      </c>
      <c r="K36" s="9" t="s">
        <v>35</v>
      </c>
      <c r="L36" s="8"/>
      <c r="M36" s="8"/>
      <c r="N36" s="8" t="s">
        <v>297</v>
      </c>
      <c r="O36" s="9" t="s">
        <v>298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9.25" customHeight="1" x14ac:dyDescent="0.3">
      <c r="A37" s="14" t="s">
        <v>299</v>
      </c>
      <c r="B37" s="14" t="s">
        <v>211</v>
      </c>
      <c r="C37" s="14" t="s">
        <v>300</v>
      </c>
      <c r="D37" s="14" t="s">
        <v>294</v>
      </c>
      <c r="E37" s="14" t="s">
        <v>301</v>
      </c>
      <c r="F37" s="15" t="s">
        <v>302</v>
      </c>
      <c r="G37" s="15" t="s">
        <v>42</v>
      </c>
      <c r="H37" s="14" t="s">
        <v>303</v>
      </c>
      <c r="I37" s="14" t="s">
        <v>156</v>
      </c>
      <c r="J37" s="14">
        <v>3</v>
      </c>
      <c r="K37" s="15" t="s">
        <v>35</v>
      </c>
      <c r="L37" s="14"/>
      <c r="M37" s="14"/>
      <c r="N37" s="14" t="s">
        <v>304</v>
      </c>
      <c r="O37" s="14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9.25" customHeight="1" x14ac:dyDescent="0.3">
      <c r="A38" s="8" t="s">
        <v>305</v>
      </c>
      <c r="B38" s="8" t="s">
        <v>211</v>
      </c>
      <c r="C38" s="9" t="s">
        <v>306</v>
      </c>
      <c r="D38" s="8" t="s">
        <v>294</v>
      </c>
      <c r="E38" s="8" t="s">
        <v>307</v>
      </c>
      <c r="F38" s="9" t="s">
        <v>308</v>
      </c>
      <c r="G38" s="9" t="s">
        <v>42</v>
      </c>
      <c r="H38" s="8" t="s">
        <v>299</v>
      </c>
      <c r="I38" s="8" t="s">
        <v>156</v>
      </c>
      <c r="J38" s="8">
        <v>1.5</v>
      </c>
      <c r="K38" s="9" t="s">
        <v>35</v>
      </c>
      <c r="L38" s="8"/>
      <c r="M38" s="8"/>
      <c r="N38" s="8" t="s">
        <v>309</v>
      </c>
      <c r="O38" s="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9.25" customHeight="1" x14ac:dyDescent="0.3">
      <c r="A39" s="17" t="s">
        <v>310</v>
      </c>
      <c r="B39" s="18" t="s">
        <v>211</v>
      </c>
      <c r="C39" s="19" t="s">
        <v>311</v>
      </c>
      <c r="D39" s="17" t="s">
        <v>294</v>
      </c>
      <c r="E39" s="19" t="s">
        <v>312</v>
      </c>
      <c r="F39" s="17" t="s">
        <v>313</v>
      </c>
      <c r="G39" s="20" t="s">
        <v>42</v>
      </c>
      <c r="H39" s="17" t="s">
        <v>299</v>
      </c>
      <c r="I39" s="17" t="s">
        <v>156</v>
      </c>
      <c r="J39" s="17">
        <v>1</v>
      </c>
      <c r="K39" s="19" t="s">
        <v>25</v>
      </c>
      <c r="L39" s="17"/>
      <c r="M39" s="17"/>
      <c r="N39" s="17" t="s">
        <v>314</v>
      </c>
      <c r="O39" s="17"/>
    </row>
    <row r="40" spans="1:26" ht="29.25" customHeight="1" x14ac:dyDescent="0.3">
      <c r="A40" s="17" t="s">
        <v>315</v>
      </c>
      <c r="B40" s="18" t="s">
        <v>211</v>
      </c>
      <c r="C40" s="19" t="s">
        <v>243</v>
      </c>
      <c r="D40" s="17" t="s">
        <v>244</v>
      </c>
      <c r="E40" s="17" t="s">
        <v>316</v>
      </c>
      <c r="F40" s="19" t="s">
        <v>317</v>
      </c>
      <c r="G40" s="20" t="s">
        <v>42</v>
      </c>
      <c r="H40" s="17" t="s">
        <v>242</v>
      </c>
      <c r="I40" s="17" t="s">
        <v>156</v>
      </c>
      <c r="J40" s="17">
        <v>0.5</v>
      </c>
      <c r="K40" s="19" t="s">
        <v>25</v>
      </c>
      <c r="L40" s="17"/>
      <c r="M40" s="17"/>
      <c r="N40" s="17" t="s">
        <v>318</v>
      </c>
      <c r="O40" s="17"/>
    </row>
    <row r="41" spans="1:26" ht="26.25" customHeight="1" x14ac:dyDescent="0.3">
      <c r="A41" s="17" t="s">
        <v>319</v>
      </c>
      <c r="B41" s="18" t="s">
        <v>211</v>
      </c>
      <c r="C41" s="19" t="s">
        <v>243</v>
      </c>
      <c r="D41" s="17" t="s">
        <v>244</v>
      </c>
      <c r="E41" s="19" t="s">
        <v>320</v>
      </c>
      <c r="F41" s="17" t="s">
        <v>321</v>
      </c>
      <c r="G41" s="20" t="s">
        <v>42</v>
      </c>
      <c r="H41" s="17" t="s">
        <v>242</v>
      </c>
      <c r="I41" s="17" t="s">
        <v>156</v>
      </c>
      <c r="J41" s="17">
        <v>1</v>
      </c>
      <c r="K41" s="19" t="s">
        <v>25</v>
      </c>
      <c r="L41" s="17"/>
      <c r="M41" s="17"/>
      <c r="N41" s="17" t="s">
        <v>322</v>
      </c>
      <c r="O41" s="17"/>
    </row>
    <row r="42" spans="1:26" ht="29.25" customHeight="1" x14ac:dyDescent="0.3">
      <c r="A42" s="17" t="s">
        <v>323</v>
      </c>
      <c r="B42" s="18" t="s">
        <v>211</v>
      </c>
      <c r="C42" s="19" t="s">
        <v>243</v>
      </c>
      <c r="D42" s="17" t="s">
        <v>244</v>
      </c>
      <c r="E42" s="17" t="s">
        <v>324</v>
      </c>
      <c r="F42" s="17" t="s">
        <v>325</v>
      </c>
      <c r="G42" s="20" t="s">
        <v>42</v>
      </c>
      <c r="H42" s="17" t="s">
        <v>319</v>
      </c>
      <c r="I42" s="17" t="s">
        <v>156</v>
      </c>
      <c r="J42" s="17">
        <v>1</v>
      </c>
      <c r="K42" s="19" t="s">
        <v>25</v>
      </c>
      <c r="L42" s="17"/>
      <c r="M42" s="17"/>
      <c r="N42" s="17" t="s">
        <v>326</v>
      </c>
      <c r="O42" s="19" t="s">
        <v>327</v>
      </c>
    </row>
    <row r="43" spans="1:26" ht="29.25" customHeight="1" x14ac:dyDescent="0.3">
      <c r="A43" s="17" t="s">
        <v>328</v>
      </c>
      <c r="B43" s="18" t="s">
        <v>211</v>
      </c>
      <c r="C43" s="19" t="s">
        <v>249</v>
      </c>
      <c r="D43" s="17" t="s">
        <v>329</v>
      </c>
      <c r="E43" s="19" t="s">
        <v>330</v>
      </c>
      <c r="F43" s="17" t="s">
        <v>331</v>
      </c>
      <c r="G43" s="20" t="s">
        <v>42</v>
      </c>
      <c r="H43" s="17" t="s">
        <v>332</v>
      </c>
      <c r="I43" s="17" t="s">
        <v>156</v>
      </c>
      <c r="J43" s="17">
        <v>0.5</v>
      </c>
      <c r="K43" s="19" t="s">
        <v>25</v>
      </c>
      <c r="L43" s="17"/>
      <c r="M43" s="17"/>
      <c r="N43" s="17" t="s">
        <v>333</v>
      </c>
      <c r="O43" s="17"/>
    </row>
    <row r="44" spans="1:26" ht="29.25" customHeight="1" x14ac:dyDescent="0.3">
      <c r="A44" s="17" t="s">
        <v>334</v>
      </c>
      <c r="B44" s="18" t="s">
        <v>211</v>
      </c>
      <c r="C44" s="19" t="s">
        <v>249</v>
      </c>
      <c r="D44" s="17" t="s">
        <v>329</v>
      </c>
      <c r="E44" s="19" t="s">
        <v>335</v>
      </c>
      <c r="F44" s="19" t="s">
        <v>336</v>
      </c>
      <c r="G44" s="20" t="s">
        <v>42</v>
      </c>
      <c r="H44" s="17" t="s">
        <v>248</v>
      </c>
      <c r="I44" s="17" t="s">
        <v>156</v>
      </c>
      <c r="J44" s="17">
        <v>1</v>
      </c>
      <c r="K44" s="19" t="s">
        <v>25</v>
      </c>
      <c r="L44" s="17"/>
      <c r="M44" s="17"/>
      <c r="N44" s="17" t="s">
        <v>337</v>
      </c>
      <c r="O44" s="17"/>
    </row>
    <row r="45" spans="1:26" ht="29.25" customHeight="1" x14ac:dyDescent="0.3">
      <c r="A45" s="17" t="s">
        <v>338</v>
      </c>
      <c r="B45" s="18" t="s">
        <v>211</v>
      </c>
      <c r="C45" s="17" t="s">
        <v>339</v>
      </c>
      <c r="D45" s="17" t="s">
        <v>294</v>
      </c>
      <c r="E45" s="17" t="s">
        <v>340</v>
      </c>
      <c r="F45" s="19" t="s">
        <v>341</v>
      </c>
      <c r="G45" s="21" t="s">
        <v>44</v>
      </c>
      <c r="H45" s="17" t="s">
        <v>292</v>
      </c>
      <c r="I45" s="17" t="s">
        <v>156</v>
      </c>
      <c r="J45" s="17">
        <v>1</v>
      </c>
      <c r="K45" s="19" t="s">
        <v>25</v>
      </c>
      <c r="L45" s="17"/>
      <c r="M45" s="17"/>
      <c r="N45" s="17" t="s">
        <v>342</v>
      </c>
      <c r="O45" s="19" t="s">
        <v>343</v>
      </c>
    </row>
    <row r="46" spans="1:26" ht="15" customHeight="1" x14ac:dyDescent="0.3">
      <c r="A46" s="17" t="s">
        <v>344</v>
      </c>
      <c r="B46" s="18" t="s">
        <v>211</v>
      </c>
      <c r="C46" s="19" t="s">
        <v>345</v>
      </c>
      <c r="D46" s="17" t="s">
        <v>346</v>
      </c>
      <c r="E46" s="19" t="s">
        <v>347</v>
      </c>
      <c r="F46" s="19" t="s">
        <v>348</v>
      </c>
      <c r="G46" s="21" t="s">
        <v>44</v>
      </c>
      <c r="H46" s="17" t="s">
        <v>287</v>
      </c>
      <c r="I46" s="17" t="s">
        <v>156</v>
      </c>
      <c r="J46" s="17">
        <v>1</v>
      </c>
      <c r="K46" s="19" t="s">
        <v>25</v>
      </c>
      <c r="L46" s="17"/>
      <c r="M46" s="17"/>
      <c r="N46" s="17" t="s">
        <v>349</v>
      </c>
      <c r="O46" s="17"/>
    </row>
    <row r="47" spans="1:26" ht="15" customHeight="1" x14ac:dyDescent="0.3">
      <c r="A47" s="17" t="s">
        <v>350</v>
      </c>
      <c r="B47" s="22" t="s">
        <v>351</v>
      </c>
      <c r="C47" s="17" t="s">
        <v>352</v>
      </c>
      <c r="D47" s="17" t="s">
        <v>353</v>
      </c>
      <c r="E47" s="17" t="s">
        <v>354</v>
      </c>
      <c r="F47" s="19" t="s">
        <v>355</v>
      </c>
      <c r="G47" s="23" t="s">
        <v>40</v>
      </c>
      <c r="H47" s="17" t="s">
        <v>356</v>
      </c>
      <c r="I47" s="17" t="s">
        <v>156</v>
      </c>
      <c r="J47" s="17">
        <v>3</v>
      </c>
      <c r="K47" s="19" t="s">
        <v>25</v>
      </c>
      <c r="L47" s="17"/>
      <c r="M47" s="17"/>
      <c r="N47" s="17" t="s">
        <v>357</v>
      </c>
      <c r="O47" s="17"/>
    </row>
    <row r="48" spans="1:26" ht="29.25" customHeight="1" x14ac:dyDescent="0.3">
      <c r="A48" s="17" t="s">
        <v>358</v>
      </c>
      <c r="B48" s="22" t="s">
        <v>351</v>
      </c>
      <c r="C48" s="17" t="s">
        <v>352</v>
      </c>
      <c r="D48" s="17" t="s">
        <v>353</v>
      </c>
      <c r="E48" s="17" t="s">
        <v>359</v>
      </c>
      <c r="F48" s="19" t="s">
        <v>360</v>
      </c>
      <c r="G48" s="23" t="s">
        <v>40</v>
      </c>
      <c r="H48" s="17" t="s">
        <v>350</v>
      </c>
      <c r="I48" s="17" t="s">
        <v>156</v>
      </c>
      <c r="J48" s="17">
        <v>3</v>
      </c>
      <c r="K48" s="19" t="s">
        <v>25</v>
      </c>
      <c r="L48" s="17"/>
      <c r="M48" s="17"/>
      <c r="N48" s="17" t="s">
        <v>361</v>
      </c>
      <c r="O48" s="17"/>
    </row>
    <row r="49" spans="1:15" ht="15" customHeight="1" x14ac:dyDescent="0.3">
      <c r="A49" s="17" t="s">
        <v>362</v>
      </c>
      <c r="B49" s="22" t="s">
        <v>351</v>
      </c>
      <c r="C49" s="19" t="s">
        <v>363</v>
      </c>
      <c r="D49" s="17" t="s">
        <v>353</v>
      </c>
      <c r="E49" s="19" t="s">
        <v>364</v>
      </c>
      <c r="F49" s="19" t="s">
        <v>365</v>
      </c>
      <c r="G49" s="23" t="s">
        <v>40</v>
      </c>
      <c r="H49" s="17" t="s">
        <v>366</v>
      </c>
      <c r="I49" s="17" t="s">
        <v>156</v>
      </c>
      <c r="J49" s="17">
        <v>2</v>
      </c>
      <c r="K49" s="19" t="s">
        <v>25</v>
      </c>
      <c r="L49" s="17"/>
      <c r="M49" s="17"/>
      <c r="N49" s="17" t="s">
        <v>367</v>
      </c>
      <c r="O49" s="17"/>
    </row>
    <row r="50" spans="1:15" ht="29.25" customHeight="1" x14ac:dyDescent="0.3">
      <c r="A50" s="17" t="s">
        <v>368</v>
      </c>
      <c r="B50" s="22" t="s">
        <v>351</v>
      </c>
      <c r="C50" s="19" t="s">
        <v>363</v>
      </c>
      <c r="D50" s="17" t="s">
        <v>353</v>
      </c>
      <c r="E50" s="19" t="s">
        <v>369</v>
      </c>
      <c r="F50" s="17" t="s">
        <v>370</v>
      </c>
      <c r="G50" s="23" t="s">
        <v>40</v>
      </c>
      <c r="H50" s="17" t="s">
        <v>362</v>
      </c>
      <c r="I50" s="17" t="s">
        <v>156</v>
      </c>
      <c r="J50" s="17">
        <v>2</v>
      </c>
      <c r="K50" s="19" t="s">
        <v>25</v>
      </c>
      <c r="L50" s="17"/>
      <c r="M50" s="17"/>
      <c r="N50" s="17" t="s">
        <v>371</v>
      </c>
      <c r="O50" s="17"/>
    </row>
    <row r="51" spans="1:15" ht="29.25" customHeight="1" x14ac:dyDescent="0.3">
      <c r="A51" s="17" t="s">
        <v>372</v>
      </c>
      <c r="B51" s="22" t="s">
        <v>351</v>
      </c>
      <c r="C51" s="19" t="s">
        <v>373</v>
      </c>
      <c r="D51" s="17" t="s">
        <v>374</v>
      </c>
      <c r="E51" s="19" t="s">
        <v>375</v>
      </c>
      <c r="F51" s="17" t="s">
        <v>376</v>
      </c>
      <c r="G51" s="23" t="s">
        <v>40</v>
      </c>
      <c r="H51" s="17" t="s">
        <v>358</v>
      </c>
      <c r="I51" s="17" t="s">
        <v>156</v>
      </c>
      <c r="J51" s="17">
        <v>3</v>
      </c>
      <c r="K51" s="19" t="s">
        <v>25</v>
      </c>
      <c r="L51" s="17"/>
      <c r="M51" s="17"/>
      <c r="N51" s="17" t="s">
        <v>377</v>
      </c>
      <c r="O51" s="17" t="s">
        <v>378</v>
      </c>
    </row>
    <row r="52" spans="1:15" ht="29.25" customHeight="1" x14ac:dyDescent="0.3">
      <c r="A52" s="17" t="s">
        <v>366</v>
      </c>
      <c r="B52" s="22" t="s">
        <v>351</v>
      </c>
      <c r="C52" s="19" t="s">
        <v>363</v>
      </c>
      <c r="D52" s="17" t="s">
        <v>353</v>
      </c>
      <c r="E52" s="19" t="s">
        <v>379</v>
      </c>
      <c r="F52" s="19" t="s">
        <v>380</v>
      </c>
      <c r="G52" s="20" t="s">
        <v>42</v>
      </c>
      <c r="H52" s="17" t="s">
        <v>350</v>
      </c>
      <c r="I52" s="17" t="s">
        <v>156</v>
      </c>
      <c r="J52" s="17">
        <v>1</v>
      </c>
      <c r="K52" s="19" t="s">
        <v>25</v>
      </c>
      <c r="L52" s="17"/>
      <c r="M52" s="17"/>
      <c r="N52" s="17" t="s">
        <v>381</v>
      </c>
      <c r="O52" s="17"/>
    </row>
    <row r="53" spans="1:15" ht="29.25" customHeight="1" x14ac:dyDescent="0.3">
      <c r="A53" s="17" t="s">
        <v>382</v>
      </c>
      <c r="B53" s="22" t="s">
        <v>351</v>
      </c>
      <c r="C53" s="19" t="s">
        <v>383</v>
      </c>
      <c r="D53" s="17" t="s">
        <v>353</v>
      </c>
      <c r="E53" s="17" t="s">
        <v>384</v>
      </c>
      <c r="F53" s="19" t="s">
        <v>385</v>
      </c>
      <c r="G53" s="20" t="s">
        <v>42</v>
      </c>
      <c r="H53" s="17" t="s">
        <v>362</v>
      </c>
      <c r="I53" s="17" t="s">
        <v>156</v>
      </c>
      <c r="J53" s="17">
        <v>1.5</v>
      </c>
      <c r="K53" s="19" t="s">
        <v>25</v>
      </c>
      <c r="L53" s="17"/>
      <c r="M53" s="17"/>
      <c r="N53" s="17" t="s">
        <v>386</v>
      </c>
      <c r="O53" s="17"/>
    </row>
    <row r="54" spans="1:15" ht="29.25" customHeight="1" x14ac:dyDescent="0.3">
      <c r="A54" s="17" t="s">
        <v>387</v>
      </c>
      <c r="B54" s="22" t="s">
        <v>351</v>
      </c>
      <c r="C54" s="19" t="s">
        <v>383</v>
      </c>
      <c r="D54" s="17" t="s">
        <v>353</v>
      </c>
      <c r="E54" s="17" t="s">
        <v>388</v>
      </c>
      <c r="F54" s="17" t="s">
        <v>389</v>
      </c>
      <c r="G54" s="20" t="s">
        <v>42</v>
      </c>
      <c r="H54" s="17" t="s">
        <v>382</v>
      </c>
      <c r="I54" s="17" t="s">
        <v>156</v>
      </c>
      <c r="J54" s="17">
        <v>1</v>
      </c>
      <c r="K54" s="19" t="s">
        <v>25</v>
      </c>
      <c r="L54" s="17"/>
      <c r="M54" s="17"/>
      <c r="N54" s="17" t="s">
        <v>390</v>
      </c>
      <c r="O54" s="17"/>
    </row>
    <row r="55" spans="1:15" ht="29.25" customHeight="1" x14ac:dyDescent="0.3">
      <c r="A55" s="17" t="s">
        <v>391</v>
      </c>
      <c r="B55" s="24" t="s">
        <v>392</v>
      </c>
      <c r="C55" s="17" t="s">
        <v>393</v>
      </c>
      <c r="D55" s="17" t="s">
        <v>394</v>
      </c>
      <c r="E55" s="17" t="s">
        <v>395</v>
      </c>
      <c r="F55" s="19" t="s">
        <v>396</v>
      </c>
      <c r="G55" s="23" t="s">
        <v>40</v>
      </c>
      <c r="H55" s="17" t="s">
        <v>397</v>
      </c>
      <c r="I55" s="17" t="s">
        <v>156</v>
      </c>
      <c r="J55" s="17">
        <v>4</v>
      </c>
      <c r="K55" s="19" t="s">
        <v>25</v>
      </c>
      <c r="L55" s="17"/>
      <c r="M55" s="17"/>
      <c r="N55" s="17" t="s">
        <v>398</v>
      </c>
      <c r="O55" s="17"/>
    </row>
    <row r="56" spans="1:15" ht="23.25" customHeight="1" x14ac:dyDescent="0.3">
      <c r="A56" s="17" t="s">
        <v>399</v>
      </c>
      <c r="B56" s="24" t="s">
        <v>392</v>
      </c>
      <c r="C56" s="19" t="s">
        <v>400</v>
      </c>
      <c r="D56" s="17" t="s">
        <v>353</v>
      </c>
      <c r="E56" s="19" t="s">
        <v>401</v>
      </c>
      <c r="F56" s="19" t="s">
        <v>402</v>
      </c>
      <c r="G56" s="23" t="s">
        <v>40</v>
      </c>
      <c r="H56" s="17" t="s">
        <v>391</v>
      </c>
      <c r="I56" s="17" t="s">
        <v>156</v>
      </c>
      <c r="J56" s="17">
        <v>2</v>
      </c>
      <c r="K56" s="19" t="s">
        <v>25</v>
      </c>
      <c r="L56" s="17"/>
      <c r="M56" s="17"/>
      <c r="N56" s="17" t="s">
        <v>403</v>
      </c>
      <c r="O56" s="17"/>
    </row>
    <row r="57" spans="1:15" ht="29.25" customHeight="1" x14ac:dyDescent="0.3">
      <c r="A57" s="17" t="s">
        <v>404</v>
      </c>
      <c r="B57" s="24" t="s">
        <v>392</v>
      </c>
      <c r="C57" s="19" t="s">
        <v>405</v>
      </c>
      <c r="D57" s="17" t="s">
        <v>353</v>
      </c>
      <c r="E57" s="17" t="s">
        <v>406</v>
      </c>
      <c r="F57" s="17" t="s">
        <v>407</v>
      </c>
      <c r="G57" s="23" t="s">
        <v>40</v>
      </c>
      <c r="H57" s="17" t="s">
        <v>408</v>
      </c>
      <c r="I57" s="17" t="s">
        <v>156</v>
      </c>
      <c r="J57" s="17">
        <v>1</v>
      </c>
      <c r="K57" s="19" t="s">
        <v>25</v>
      </c>
      <c r="L57" s="17"/>
      <c r="M57" s="17"/>
      <c r="N57" s="17" t="s">
        <v>409</v>
      </c>
      <c r="O57" s="17"/>
    </row>
    <row r="58" spans="1:15" ht="29.25" customHeight="1" x14ac:dyDescent="0.3">
      <c r="A58" s="17" t="s">
        <v>410</v>
      </c>
      <c r="B58" s="24" t="s">
        <v>392</v>
      </c>
      <c r="C58" s="19" t="s">
        <v>411</v>
      </c>
      <c r="D58" s="17" t="s">
        <v>412</v>
      </c>
      <c r="E58" s="17" t="s">
        <v>413</v>
      </c>
      <c r="F58" s="17" t="s">
        <v>414</v>
      </c>
      <c r="G58" s="20" t="s">
        <v>42</v>
      </c>
      <c r="H58" s="17" t="s">
        <v>415</v>
      </c>
      <c r="I58" s="17" t="s">
        <v>156</v>
      </c>
      <c r="J58" s="17">
        <v>1.5</v>
      </c>
      <c r="K58" s="19" t="s">
        <v>25</v>
      </c>
      <c r="L58" s="17"/>
      <c r="M58" s="17"/>
      <c r="N58" s="17" t="s">
        <v>416</v>
      </c>
      <c r="O58" s="17"/>
    </row>
    <row r="59" spans="1:15" ht="29.25" customHeight="1" x14ac:dyDescent="0.3">
      <c r="A59" s="17" t="s">
        <v>417</v>
      </c>
      <c r="B59" s="25" t="s">
        <v>418</v>
      </c>
      <c r="C59" s="19" t="s">
        <v>419</v>
      </c>
      <c r="D59" s="17" t="s">
        <v>420</v>
      </c>
      <c r="E59" s="17" t="s">
        <v>421</v>
      </c>
      <c r="F59" s="17" t="s">
        <v>422</v>
      </c>
      <c r="G59" s="23" t="s">
        <v>40</v>
      </c>
      <c r="H59" s="17" t="s">
        <v>151</v>
      </c>
      <c r="I59" s="17" t="s">
        <v>156</v>
      </c>
      <c r="J59" s="17">
        <v>2</v>
      </c>
      <c r="K59" s="19" t="s">
        <v>25</v>
      </c>
      <c r="L59" s="17"/>
      <c r="M59" s="17"/>
      <c r="N59" s="19" t="s">
        <v>423</v>
      </c>
      <c r="O59" s="17" t="s">
        <v>424</v>
      </c>
    </row>
    <row r="60" spans="1:15" ht="29.25" customHeight="1" x14ac:dyDescent="0.3">
      <c r="A60" s="17" t="s">
        <v>425</v>
      </c>
      <c r="B60" s="25" t="s">
        <v>418</v>
      </c>
      <c r="C60" s="17" t="s">
        <v>426</v>
      </c>
      <c r="D60" s="17" t="s">
        <v>427</v>
      </c>
      <c r="E60" s="17" t="s">
        <v>428</v>
      </c>
      <c r="F60" s="17" t="s">
        <v>429</v>
      </c>
      <c r="G60" s="23" t="s">
        <v>40</v>
      </c>
      <c r="H60" s="17" t="s">
        <v>201</v>
      </c>
      <c r="I60" s="17" t="s">
        <v>156</v>
      </c>
      <c r="J60" s="17">
        <v>1.5</v>
      </c>
      <c r="K60" s="19" t="s">
        <v>25</v>
      </c>
      <c r="L60" s="17"/>
      <c r="M60" s="17"/>
      <c r="N60" s="17" t="s">
        <v>430</v>
      </c>
      <c r="O60" s="17"/>
    </row>
    <row r="61" spans="1:15" ht="29.25" customHeight="1" x14ac:dyDescent="0.3">
      <c r="A61" s="17" t="s">
        <v>431</v>
      </c>
      <c r="B61" s="25" t="s">
        <v>418</v>
      </c>
      <c r="C61" s="19" t="s">
        <v>432</v>
      </c>
      <c r="D61" s="17" t="s">
        <v>427</v>
      </c>
      <c r="E61" s="17" t="s">
        <v>433</v>
      </c>
      <c r="F61" s="19" t="s">
        <v>434</v>
      </c>
      <c r="G61" s="23" t="s">
        <v>40</v>
      </c>
      <c r="H61" s="17" t="s">
        <v>425</v>
      </c>
      <c r="I61" s="17" t="s">
        <v>156</v>
      </c>
      <c r="J61" s="17">
        <v>1</v>
      </c>
      <c r="K61" s="19" t="s">
        <v>25</v>
      </c>
      <c r="L61" s="17"/>
      <c r="M61" s="17"/>
      <c r="N61" s="17" t="s">
        <v>435</v>
      </c>
      <c r="O61" s="17"/>
    </row>
    <row r="62" spans="1:15" ht="29.25" customHeight="1" x14ac:dyDescent="0.3">
      <c r="A62" s="17" t="s">
        <v>253</v>
      </c>
      <c r="B62" s="25" t="s">
        <v>418</v>
      </c>
      <c r="C62" s="17" t="s">
        <v>300</v>
      </c>
      <c r="D62" s="17" t="s">
        <v>436</v>
      </c>
      <c r="E62" s="17" t="s">
        <v>437</v>
      </c>
      <c r="F62" s="19" t="s">
        <v>438</v>
      </c>
      <c r="G62" s="23" t="s">
        <v>40</v>
      </c>
      <c r="H62" s="17" t="s">
        <v>303</v>
      </c>
      <c r="I62" s="17" t="s">
        <v>156</v>
      </c>
      <c r="J62" s="17">
        <v>3</v>
      </c>
      <c r="K62" s="19" t="s">
        <v>25</v>
      </c>
      <c r="L62" s="17"/>
      <c r="M62" s="17"/>
      <c r="N62" s="17" t="s">
        <v>439</v>
      </c>
      <c r="O62" s="17"/>
    </row>
    <row r="63" spans="1:15" ht="15" customHeight="1" x14ac:dyDescent="0.3">
      <c r="A63" s="17" t="s">
        <v>440</v>
      </c>
      <c r="B63" s="25" t="s">
        <v>418</v>
      </c>
      <c r="C63" s="17" t="s">
        <v>300</v>
      </c>
      <c r="D63" s="17" t="s">
        <v>441</v>
      </c>
      <c r="E63" s="17" t="s">
        <v>442</v>
      </c>
      <c r="F63" s="19" t="s">
        <v>443</v>
      </c>
      <c r="G63" s="23" t="s">
        <v>40</v>
      </c>
      <c r="H63" s="17" t="s">
        <v>253</v>
      </c>
      <c r="I63" s="17" t="s">
        <v>156</v>
      </c>
      <c r="J63" s="17">
        <v>3</v>
      </c>
      <c r="K63" s="19" t="s">
        <v>25</v>
      </c>
      <c r="L63" s="17"/>
      <c r="M63" s="17"/>
      <c r="N63" s="17" t="s">
        <v>444</v>
      </c>
      <c r="O63" s="17"/>
    </row>
    <row r="64" spans="1:15" ht="29.25" customHeight="1" x14ac:dyDescent="0.3">
      <c r="A64" s="17" t="s">
        <v>445</v>
      </c>
      <c r="B64" s="25" t="s">
        <v>418</v>
      </c>
      <c r="C64" s="17" t="s">
        <v>300</v>
      </c>
      <c r="D64" s="17" t="s">
        <v>446</v>
      </c>
      <c r="E64" s="17" t="s">
        <v>447</v>
      </c>
      <c r="F64" s="19" t="s">
        <v>448</v>
      </c>
      <c r="G64" s="23" t="s">
        <v>40</v>
      </c>
      <c r="H64" s="17" t="s">
        <v>449</v>
      </c>
      <c r="I64" s="17" t="s">
        <v>156</v>
      </c>
      <c r="J64" s="17">
        <v>2</v>
      </c>
      <c r="K64" s="19" t="s">
        <v>25</v>
      </c>
      <c r="L64" s="17"/>
      <c r="M64" s="17"/>
      <c r="N64" s="17" t="s">
        <v>450</v>
      </c>
      <c r="O64" s="17" t="s">
        <v>451</v>
      </c>
    </row>
    <row r="65" spans="1:15" ht="15" customHeight="1" x14ac:dyDescent="0.3">
      <c r="A65" s="17" t="s">
        <v>332</v>
      </c>
      <c r="B65" s="25" t="s">
        <v>418</v>
      </c>
      <c r="C65" s="17" t="s">
        <v>300</v>
      </c>
      <c r="D65" s="17" t="s">
        <v>452</v>
      </c>
      <c r="E65" s="17" t="s">
        <v>453</v>
      </c>
      <c r="F65" s="19" t="s">
        <v>454</v>
      </c>
      <c r="G65" s="23" t="s">
        <v>40</v>
      </c>
      <c r="H65" s="17" t="s">
        <v>299</v>
      </c>
      <c r="I65" s="17" t="s">
        <v>156</v>
      </c>
      <c r="J65" s="17">
        <v>4</v>
      </c>
      <c r="K65" s="19" t="s">
        <v>25</v>
      </c>
      <c r="L65" s="17"/>
      <c r="M65" s="17"/>
      <c r="N65" s="17" t="s">
        <v>455</v>
      </c>
      <c r="O65" s="17"/>
    </row>
    <row r="66" spans="1:15" ht="15" customHeight="1" x14ac:dyDescent="0.3">
      <c r="A66" s="17" t="s">
        <v>456</v>
      </c>
      <c r="B66" s="25" t="s">
        <v>418</v>
      </c>
      <c r="C66" s="19" t="s">
        <v>457</v>
      </c>
      <c r="D66" s="17" t="s">
        <v>458</v>
      </c>
      <c r="E66" s="19" t="s">
        <v>459</v>
      </c>
      <c r="F66" s="19" t="s">
        <v>460</v>
      </c>
      <c r="G66" s="23" t="s">
        <v>40</v>
      </c>
      <c r="H66" s="17" t="s">
        <v>440</v>
      </c>
      <c r="I66" s="17" t="s">
        <v>156</v>
      </c>
      <c r="J66" s="17">
        <v>1</v>
      </c>
      <c r="K66" s="19" t="s">
        <v>25</v>
      </c>
      <c r="L66" s="17"/>
      <c r="M66" s="17"/>
      <c r="N66" s="17" t="s">
        <v>461</v>
      </c>
      <c r="O66" s="17"/>
    </row>
    <row r="67" spans="1:15" ht="15" customHeight="1" x14ac:dyDescent="0.3">
      <c r="A67" s="17" t="s">
        <v>462</v>
      </c>
      <c r="B67" s="25" t="s">
        <v>418</v>
      </c>
      <c r="C67" s="19" t="s">
        <v>457</v>
      </c>
      <c r="D67" s="17" t="s">
        <v>463</v>
      </c>
      <c r="E67" s="17" t="s">
        <v>464</v>
      </c>
      <c r="F67" s="19" t="s">
        <v>465</v>
      </c>
      <c r="G67" s="23" t="s">
        <v>40</v>
      </c>
      <c r="H67" s="17" t="s">
        <v>456</v>
      </c>
      <c r="I67" s="17" t="s">
        <v>156</v>
      </c>
      <c r="J67" s="17">
        <v>0.5</v>
      </c>
      <c r="K67" s="19" t="s">
        <v>25</v>
      </c>
      <c r="L67" s="17"/>
      <c r="M67" s="17"/>
      <c r="N67" s="17" t="s">
        <v>466</v>
      </c>
      <c r="O67" s="17"/>
    </row>
    <row r="68" spans="1:15" ht="15" customHeight="1" x14ac:dyDescent="0.3">
      <c r="A68" s="17" t="s">
        <v>467</v>
      </c>
      <c r="B68" s="25" t="s">
        <v>418</v>
      </c>
      <c r="C68" s="19" t="s">
        <v>457</v>
      </c>
      <c r="D68" s="17" t="s">
        <v>458</v>
      </c>
      <c r="E68" s="19" t="s">
        <v>468</v>
      </c>
      <c r="F68" s="19" t="s">
        <v>469</v>
      </c>
      <c r="G68" s="23" t="s">
        <v>40</v>
      </c>
      <c r="H68" s="17" t="s">
        <v>456</v>
      </c>
      <c r="I68" s="17" t="s">
        <v>156</v>
      </c>
      <c r="J68" s="17">
        <v>1</v>
      </c>
      <c r="K68" s="19" t="s">
        <v>25</v>
      </c>
      <c r="L68" s="17"/>
      <c r="M68" s="17"/>
      <c r="N68" s="17" t="s">
        <v>470</v>
      </c>
      <c r="O68" s="17"/>
    </row>
    <row r="69" spans="1:15" ht="29.25" customHeight="1" x14ac:dyDescent="0.3">
      <c r="A69" s="17" t="s">
        <v>471</v>
      </c>
      <c r="B69" s="25" t="s">
        <v>418</v>
      </c>
      <c r="C69" s="19" t="s">
        <v>457</v>
      </c>
      <c r="D69" s="17" t="s">
        <v>472</v>
      </c>
      <c r="E69" s="19" t="s">
        <v>473</v>
      </c>
      <c r="F69" s="19" t="s">
        <v>474</v>
      </c>
      <c r="G69" s="23" t="s">
        <v>40</v>
      </c>
      <c r="H69" s="17" t="s">
        <v>467</v>
      </c>
      <c r="I69" s="17" t="s">
        <v>156</v>
      </c>
      <c r="J69" s="17">
        <v>2</v>
      </c>
      <c r="K69" s="19" t="s">
        <v>25</v>
      </c>
      <c r="L69" s="17"/>
      <c r="M69" s="17"/>
      <c r="N69" s="17" t="s">
        <v>475</v>
      </c>
      <c r="O69" s="19" t="s">
        <v>476</v>
      </c>
    </row>
    <row r="70" spans="1:15" ht="15" customHeight="1" x14ac:dyDescent="0.3">
      <c r="A70" s="17" t="s">
        <v>477</v>
      </c>
      <c r="B70" s="25" t="s">
        <v>418</v>
      </c>
      <c r="C70" s="19" t="s">
        <v>478</v>
      </c>
      <c r="D70" s="17" t="s">
        <v>479</v>
      </c>
      <c r="E70" s="17" t="s">
        <v>480</v>
      </c>
      <c r="F70" s="19" t="s">
        <v>481</v>
      </c>
      <c r="G70" s="23" t="s">
        <v>40</v>
      </c>
      <c r="H70" s="17" t="s">
        <v>482</v>
      </c>
      <c r="I70" s="17" t="s">
        <v>156</v>
      </c>
      <c r="J70" s="17">
        <v>2</v>
      </c>
      <c r="K70" s="19" t="s">
        <v>25</v>
      </c>
      <c r="L70" s="17"/>
      <c r="M70" s="17"/>
      <c r="N70" s="17" t="s">
        <v>483</v>
      </c>
      <c r="O70" s="17"/>
    </row>
    <row r="71" spans="1:15" ht="29.25" customHeight="1" x14ac:dyDescent="0.3">
      <c r="A71" s="17" t="s">
        <v>484</v>
      </c>
      <c r="B71" s="25" t="s">
        <v>418</v>
      </c>
      <c r="C71" s="19" t="s">
        <v>478</v>
      </c>
      <c r="D71" s="17" t="s">
        <v>479</v>
      </c>
      <c r="E71" s="19" t="s">
        <v>485</v>
      </c>
      <c r="F71" s="17" t="s">
        <v>486</v>
      </c>
      <c r="G71" s="23" t="s">
        <v>40</v>
      </c>
      <c r="H71" s="17" t="s">
        <v>477</v>
      </c>
      <c r="I71" s="17" t="s">
        <v>156</v>
      </c>
      <c r="J71" s="17">
        <v>1</v>
      </c>
      <c r="K71" s="19" t="s">
        <v>25</v>
      </c>
      <c r="L71" s="17"/>
      <c r="M71" s="17"/>
      <c r="N71" s="17" t="s">
        <v>487</v>
      </c>
      <c r="O71" s="17"/>
    </row>
    <row r="72" spans="1:15" ht="29.25" customHeight="1" x14ac:dyDescent="0.3">
      <c r="A72" s="17" t="s">
        <v>488</v>
      </c>
      <c r="B72" s="25" t="s">
        <v>418</v>
      </c>
      <c r="C72" s="19" t="s">
        <v>478</v>
      </c>
      <c r="D72" s="17" t="s">
        <v>489</v>
      </c>
      <c r="E72" s="19" t="s">
        <v>490</v>
      </c>
      <c r="F72" s="19" t="s">
        <v>491</v>
      </c>
      <c r="G72" s="23" t="s">
        <v>40</v>
      </c>
      <c r="H72" s="17" t="s">
        <v>477</v>
      </c>
      <c r="I72" s="17" t="s">
        <v>156</v>
      </c>
      <c r="J72" s="17">
        <v>2</v>
      </c>
      <c r="K72" s="19" t="s">
        <v>25</v>
      </c>
      <c r="L72" s="17"/>
      <c r="M72" s="17"/>
      <c r="N72" s="17" t="s">
        <v>492</v>
      </c>
      <c r="O72" s="17"/>
    </row>
    <row r="73" spans="1:15" ht="23.25" customHeight="1" x14ac:dyDescent="0.3">
      <c r="A73" s="17" t="s">
        <v>493</v>
      </c>
      <c r="B73" s="25" t="s">
        <v>418</v>
      </c>
      <c r="C73" s="19" t="s">
        <v>494</v>
      </c>
      <c r="D73" s="17" t="s">
        <v>495</v>
      </c>
      <c r="E73" s="19" t="s">
        <v>496</v>
      </c>
      <c r="F73" s="19" t="s">
        <v>497</v>
      </c>
      <c r="G73" s="23" t="s">
        <v>40</v>
      </c>
      <c r="H73" s="17" t="s">
        <v>498</v>
      </c>
      <c r="I73" s="17" t="s">
        <v>156</v>
      </c>
      <c r="J73" s="17">
        <v>0.5</v>
      </c>
      <c r="K73" s="19" t="s">
        <v>25</v>
      </c>
      <c r="L73" s="17"/>
      <c r="M73" s="17"/>
      <c r="N73" s="17" t="s">
        <v>499</v>
      </c>
      <c r="O73" s="17"/>
    </row>
    <row r="74" spans="1:15" ht="29.25" customHeight="1" x14ac:dyDescent="0.3">
      <c r="A74" s="17" t="s">
        <v>500</v>
      </c>
      <c r="B74" s="25" t="s">
        <v>418</v>
      </c>
      <c r="C74" s="19" t="s">
        <v>501</v>
      </c>
      <c r="D74" s="17" t="s">
        <v>502</v>
      </c>
      <c r="E74" s="17" t="s">
        <v>503</v>
      </c>
      <c r="F74" s="17" t="s">
        <v>504</v>
      </c>
      <c r="G74" s="20" t="s">
        <v>42</v>
      </c>
      <c r="H74" s="17" t="s">
        <v>505</v>
      </c>
      <c r="I74" s="17" t="s">
        <v>156</v>
      </c>
      <c r="J74" s="17">
        <v>2</v>
      </c>
      <c r="K74" s="19" t="s">
        <v>25</v>
      </c>
      <c r="L74" s="17"/>
      <c r="M74" s="17"/>
      <c r="N74" s="19" t="s">
        <v>506</v>
      </c>
      <c r="O74" s="17" t="s">
        <v>507</v>
      </c>
    </row>
    <row r="75" spans="1:15" ht="29.25" customHeight="1" x14ac:dyDescent="0.3">
      <c r="A75" s="17" t="s">
        <v>508</v>
      </c>
      <c r="B75" s="25" t="s">
        <v>418</v>
      </c>
      <c r="C75" s="19" t="s">
        <v>419</v>
      </c>
      <c r="D75" s="17" t="s">
        <v>509</v>
      </c>
      <c r="E75" s="17" t="s">
        <v>510</v>
      </c>
      <c r="F75" s="17" t="s">
        <v>511</v>
      </c>
      <c r="G75" s="20" t="s">
        <v>42</v>
      </c>
      <c r="H75" s="17" t="s">
        <v>151</v>
      </c>
      <c r="I75" s="17" t="s">
        <v>156</v>
      </c>
      <c r="J75" s="17">
        <v>1.5</v>
      </c>
      <c r="K75" s="19" t="s">
        <v>25</v>
      </c>
      <c r="L75" s="17"/>
      <c r="M75" s="17"/>
      <c r="N75" s="17" t="s">
        <v>512</v>
      </c>
      <c r="O75" s="17" t="s">
        <v>513</v>
      </c>
    </row>
    <row r="76" spans="1:15" ht="29.25" customHeight="1" x14ac:dyDescent="0.3">
      <c r="A76" s="17" t="s">
        <v>514</v>
      </c>
      <c r="B76" s="25" t="s">
        <v>418</v>
      </c>
      <c r="C76" s="19" t="s">
        <v>515</v>
      </c>
      <c r="D76" s="17" t="s">
        <v>427</v>
      </c>
      <c r="E76" s="19" t="s">
        <v>516</v>
      </c>
      <c r="F76" s="19" t="s">
        <v>517</v>
      </c>
      <c r="G76" s="20" t="s">
        <v>42</v>
      </c>
      <c r="H76" s="17" t="s">
        <v>431</v>
      </c>
      <c r="I76" s="17" t="s">
        <v>156</v>
      </c>
      <c r="J76" s="17">
        <v>1</v>
      </c>
      <c r="K76" s="19" t="s">
        <v>25</v>
      </c>
      <c r="L76" s="17"/>
      <c r="M76" s="17"/>
      <c r="N76" s="17" t="s">
        <v>518</v>
      </c>
      <c r="O76" s="17" t="s">
        <v>519</v>
      </c>
    </row>
    <row r="77" spans="1:15" ht="23.25" customHeight="1" x14ac:dyDescent="0.3">
      <c r="A77" s="17" t="s">
        <v>520</v>
      </c>
      <c r="B77" s="25" t="s">
        <v>418</v>
      </c>
      <c r="C77" s="19" t="s">
        <v>521</v>
      </c>
      <c r="D77" s="17" t="s">
        <v>522</v>
      </c>
      <c r="E77" s="17" t="s">
        <v>523</v>
      </c>
      <c r="F77" s="19" t="s">
        <v>524</v>
      </c>
      <c r="G77" s="20" t="s">
        <v>42</v>
      </c>
      <c r="H77" s="17" t="s">
        <v>431</v>
      </c>
      <c r="I77" s="17" t="s">
        <v>156</v>
      </c>
      <c r="J77" s="17">
        <v>1</v>
      </c>
      <c r="K77" s="19" t="s">
        <v>25</v>
      </c>
      <c r="L77" s="17"/>
      <c r="M77" s="17"/>
      <c r="N77" s="17" t="s">
        <v>525</v>
      </c>
      <c r="O77" s="17"/>
    </row>
    <row r="78" spans="1:15" ht="29.25" customHeight="1" x14ac:dyDescent="0.3">
      <c r="A78" s="17" t="s">
        <v>526</v>
      </c>
      <c r="B78" s="25" t="s">
        <v>418</v>
      </c>
      <c r="C78" s="19" t="s">
        <v>527</v>
      </c>
      <c r="D78" s="17" t="s">
        <v>528</v>
      </c>
      <c r="E78" s="17" t="s">
        <v>529</v>
      </c>
      <c r="F78" s="17" t="s">
        <v>530</v>
      </c>
      <c r="G78" s="20" t="s">
        <v>42</v>
      </c>
      <c r="H78" s="17" t="s">
        <v>425</v>
      </c>
      <c r="I78" s="17" t="s">
        <v>156</v>
      </c>
      <c r="J78" s="17">
        <v>2</v>
      </c>
      <c r="K78" s="19" t="s">
        <v>25</v>
      </c>
      <c r="L78" s="17"/>
      <c r="M78" s="17"/>
      <c r="N78" s="17" t="s">
        <v>531</v>
      </c>
      <c r="O78" s="17"/>
    </row>
    <row r="79" spans="1:15" ht="15" customHeight="1" x14ac:dyDescent="0.3">
      <c r="A79" s="17" t="s">
        <v>532</v>
      </c>
      <c r="B79" s="25" t="s">
        <v>418</v>
      </c>
      <c r="C79" s="19" t="s">
        <v>533</v>
      </c>
      <c r="D79" s="17" t="s">
        <v>427</v>
      </c>
      <c r="E79" s="19" t="s">
        <v>534</v>
      </c>
      <c r="F79" s="17" t="s">
        <v>535</v>
      </c>
      <c r="G79" s="20" t="s">
        <v>42</v>
      </c>
      <c r="H79" s="17" t="s">
        <v>536</v>
      </c>
      <c r="I79" s="17" t="s">
        <v>156</v>
      </c>
      <c r="J79" s="17">
        <v>3</v>
      </c>
      <c r="K79" s="19" t="s">
        <v>25</v>
      </c>
      <c r="L79" s="17"/>
      <c r="M79" s="17"/>
      <c r="N79" s="17" t="s">
        <v>537</v>
      </c>
      <c r="O79" s="17"/>
    </row>
    <row r="80" spans="1:15" ht="15" customHeight="1" x14ac:dyDescent="0.3">
      <c r="A80" s="17" t="s">
        <v>538</v>
      </c>
      <c r="B80" s="25" t="s">
        <v>418</v>
      </c>
      <c r="C80" s="19" t="s">
        <v>533</v>
      </c>
      <c r="D80" s="17" t="s">
        <v>427</v>
      </c>
      <c r="E80" s="17" t="s">
        <v>539</v>
      </c>
      <c r="F80" s="19" t="s">
        <v>540</v>
      </c>
      <c r="G80" s="20" t="s">
        <v>42</v>
      </c>
      <c r="H80" s="17" t="s">
        <v>532</v>
      </c>
      <c r="I80" s="17" t="s">
        <v>156</v>
      </c>
      <c r="J80" s="17">
        <v>1.5</v>
      </c>
      <c r="K80" s="19" t="s">
        <v>25</v>
      </c>
      <c r="L80" s="17"/>
      <c r="M80" s="17"/>
      <c r="N80" s="17" t="s">
        <v>541</v>
      </c>
      <c r="O80" s="17"/>
    </row>
    <row r="81" spans="1:15" ht="15" customHeight="1" x14ac:dyDescent="0.3">
      <c r="A81" s="17" t="s">
        <v>542</v>
      </c>
      <c r="B81" s="25" t="s">
        <v>418</v>
      </c>
      <c r="C81" s="19" t="s">
        <v>533</v>
      </c>
      <c r="D81" s="17" t="s">
        <v>427</v>
      </c>
      <c r="E81" s="19" t="s">
        <v>543</v>
      </c>
      <c r="F81" s="19" t="s">
        <v>544</v>
      </c>
      <c r="G81" s="20" t="s">
        <v>42</v>
      </c>
      <c r="H81" s="17" t="s">
        <v>431</v>
      </c>
      <c r="I81" s="17" t="s">
        <v>156</v>
      </c>
      <c r="J81" s="17">
        <v>2</v>
      </c>
      <c r="K81" s="19" t="s">
        <v>25</v>
      </c>
      <c r="L81" s="17"/>
      <c r="M81" s="17"/>
      <c r="N81" s="17" t="s">
        <v>545</v>
      </c>
      <c r="O81" s="17"/>
    </row>
    <row r="82" spans="1:15" ht="29.25" customHeight="1" x14ac:dyDescent="0.3">
      <c r="A82" s="17" t="s">
        <v>546</v>
      </c>
      <c r="B82" s="25" t="s">
        <v>418</v>
      </c>
      <c r="C82" s="17" t="s">
        <v>300</v>
      </c>
      <c r="D82" s="17" t="s">
        <v>55</v>
      </c>
      <c r="E82" s="17" t="s">
        <v>547</v>
      </c>
      <c r="F82" s="19" t="s">
        <v>548</v>
      </c>
      <c r="G82" s="20" t="s">
        <v>42</v>
      </c>
      <c r="H82" s="17" t="s">
        <v>549</v>
      </c>
      <c r="I82" s="17" t="s">
        <v>156</v>
      </c>
      <c r="J82" s="17">
        <v>3</v>
      </c>
      <c r="K82" s="19" t="s">
        <v>25</v>
      </c>
      <c r="L82" s="17"/>
      <c r="M82" s="17"/>
      <c r="N82" s="17" t="s">
        <v>550</v>
      </c>
      <c r="O82" s="17"/>
    </row>
    <row r="83" spans="1:15" ht="29.25" customHeight="1" x14ac:dyDescent="0.3">
      <c r="A83" s="17" t="s">
        <v>551</v>
      </c>
      <c r="B83" s="25" t="s">
        <v>418</v>
      </c>
      <c r="C83" s="17" t="s">
        <v>300</v>
      </c>
      <c r="D83" s="17" t="s">
        <v>446</v>
      </c>
      <c r="E83" s="17" t="s">
        <v>552</v>
      </c>
      <c r="F83" s="19" t="s">
        <v>553</v>
      </c>
      <c r="G83" s="20" t="s">
        <v>42</v>
      </c>
      <c r="H83" s="17" t="s">
        <v>542</v>
      </c>
      <c r="I83" s="17" t="s">
        <v>156</v>
      </c>
      <c r="J83" s="17">
        <v>2</v>
      </c>
      <c r="K83" s="19" t="s">
        <v>25</v>
      </c>
      <c r="L83" s="17"/>
      <c r="M83" s="17"/>
      <c r="N83" s="17" t="s">
        <v>554</v>
      </c>
      <c r="O83" s="17"/>
    </row>
    <row r="84" spans="1:15" ht="29.25" customHeight="1" x14ac:dyDescent="0.3">
      <c r="A84" s="17" t="s">
        <v>555</v>
      </c>
      <c r="B84" s="25" t="s">
        <v>418</v>
      </c>
      <c r="C84" s="17" t="s">
        <v>300</v>
      </c>
      <c r="D84" s="17" t="s">
        <v>556</v>
      </c>
      <c r="E84" s="17" t="s">
        <v>557</v>
      </c>
      <c r="F84" s="17" t="s">
        <v>558</v>
      </c>
      <c r="G84" s="20" t="s">
        <v>42</v>
      </c>
      <c r="H84" s="17" t="s">
        <v>559</v>
      </c>
      <c r="I84" s="17" t="s">
        <v>156</v>
      </c>
      <c r="J84" s="17">
        <v>1.5</v>
      </c>
      <c r="K84" s="19" t="s">
        <v>25</v>
      </c>
      <c r="L84" s="17"/>
      <c r="M84" s="17"/>
      <c r="N84" s="17" t="s">
        <v>560</v>
      </c>
      <c r="O84" s="17"/>
    </row>
    <row r="85" spans="1:15" ht="29.25" customHeight="1" x14ac:dyDescent="0.3">
      <c r="A85" s="17" t="s">
        <v>561</v>
      </c>
      <c r="B85" s="25" t="s">
        <v>418</v>
      </c>
      <c r="C85" s="17" t="s">
        <v>300</v>
      </c>
      <c r="D85" s="17" t="s">
        <v>562</v>
      </c>
      <c r="E85" s="17" t="s">
        <v>563</v>
      </c>
      <c r="F85" s="17" t="s">
        <v>564</v>
      </c>
      <c r="G85" s="20" t="s">
        <v>42</v>
      </c>
      <c r="H85" s="17" t="s">
        <v>332</v>
      </c>
      <c r="I85" s="17" t="s">
        <v>156</v>
      </c>
      <c r="J85" s="17">
        <v>1.5</v>
      </c>
      <c r="K85" s="19" t="s">
        <v>25</v>
      </c>
      <c r="L85" s="17"/>
      <c r="M85" s="17"/>
      <c r="N85" s="17" t="s">
        <v>565</v>
      </c>
      <c r="O85" s="19" t="s">
        <v>566</v>
      </c>
    </row>
    <row r="86" spans="1:15" ht="29.25" customHeight="1" x14ac:dyDescent="0.3">
      <c r="A86" s="17" t="s">
        <v>567</v>
      </c>
      <c r="B86" s="25" t="s">
        <v>418</v>
      </c>
      <c r="C86" s="17" t="s">
        <v>300</v>
      </c>
      <c r="D86" s="17" t="s">
        <v>562</v>
      </c>
      <c r="E86" s="17" t="s">
        <v>568</v>
      </c>
      <c r="F86" s="19" t="s">
        <v>569</v>
      </c>
      <c r="G86" s="20" t="s">
        <v>42</v>
      </c>
      <c r="H86" s="17" t="s">
        <v>332</v>
      </c>
      <c r="I86" s="17" t="s">
        <v>156</v>
      </c>
      <c r="J86" s="17">
        <v>1</v>
      </c>
      <c r="K86" s="19" t="s">
        <v>25</v>
      </c>
      <c r="L86" s="17"/>
      <c r="M86" s="17"/>
      <c r="N86" s="17" t="s">
        <v>570</v>
      </c>
      <c r="O86" s="17"/>
    </row>
    <row r="87" spans="1:15" ht="29.25" customHeight="1" x14ac:dyDescent="0.3">
      <c r="A87" s="17" t="s">
        <v>571</v>
      </c>
      <c r="B87" s="25" t="s">
        <v>418</v>
      </c>
      <c r="C87" s="19" t="s">
        <v>478</v>
      </c>
      <c r="D87" s="17" t="s">
        <v>479</v>
      </c>
      <c r="E87" s="19" t="s">
        <v>572</v>
      </c>
      <c r="F87" s="17" t="s">
        <v>573</v>
      </c>
      <c r="G87" s="20" t="s">
        <v>42</v>
      </c>
      <c r="H87" s="17" t="s">
        <v>484</v>
      </c>
      <c r="I87" s="17" t="s">
        <v>156</v>
      </c>
      <c r="J87" s="17">
        <v>1</v>
      </c>
      <c r="K87" s="19" t="s">
        <v>25</v>
      </c>
      <c r="L87" s="17"/>
      <c r="M87" s="17"/>
      <c r="N87" s="17" t="s">
        <v>574</v>
      </c>
      <c r="O87" s="17"/>
    </row>
    <row r="88" spans="1:15" ht="29.25" customHeight="1" x14ac:dyDescent="0.3">
      <c r="A88" s="17" t="s">
        <v>575</v>
      </c>
      <c r="B88" s="25" t="s">
        <v>418</v>
      </c>
      <c r="C88" s="19" t="s">
        <v>478</v>
      </c>
      <c r="D88" s="17" t="s">
        <v>479</v>
      </c>
      <c r="E88" s="19" t="s">
        <v>576</v>
      </c>
      <c r="F88" s="19" t="s">
        <v>577</v>
      </c>
      <c r="G88" s="20" t="s">
        <v>42</v>
      </c>
      <c r="H88" s="17" t="s">
        <v>484</v>
      </c>
      <c r="I88" s="17" t="s">
        <v>156</v>
      </c>
      <c r="J88" s="17">
        <v>1.5</v>
      </c>
      <c r="K88" s="19" t="s">
        <v>25</v>
      </c>
      <c r="L88" s="17"/>
      <c r="M88" s="17"/>
      <c r="N88" s="17" t="s">
        <v>578</v>
      </c>
      <c r="O88" s="17"/>
    </row>
    <row r="89" spans="1:15" ht="29.25" customHeight="1" x14ac:dyDescent="0.3">
      <c r="A89" s="17" t="s">
        <v>579</v>
      </c>
      <c r="B89" s="25" t="s">
        <v>418</v>
      </c>
      <c r="C89" s="19" t="s">
        <v>580</v>
      </c>
      <c r="D89" s="17" t="s">
        <v>581</v>
      </c>
      <c r="E89" s="19" t="s">
        <v>582</v>
      </c>
      <c r="F89" s="17" t="s">
        <v>583</v>
      </c>
      <c r="G89" s="20" t="s">
        <v>42</v>
      </c>
      <c r="H89" s="17" t="s">
        <v>187</v>
      </c>
      <c r="I89" s="17" t="s">
        <v>156</v>
      </c>
      <c r="J89" s="17">
        <v>1.5</v>
      </c>
      <c r="K89" s="19" t="s">
        <v>25</v>
      </c>
      <c r="L89" s="17"/>
      <c r="M89" s="17"/>
      <c r="N89" s="17" t="s">
        <v>584</v>
      </c>
      <c r="O89" s="17"/>
    </row>
    <row r="90" spans="1:15" ht="29.25" customHeight="1" x14ac:dyDescent="0.3">
      <c r="A90" s="17" t="s">
        <v>585</v>
      </c>
      <c r="B90" s="25" t="s">
        <v>418</v>
      </c>
      <c r="C90" s="19" t="s">
        <v>494</v>
      </c>
      <c r="D90" s="17" t="s">
        <v>586</v>
      </c>
      <c r="E90" s="17" t="s">
        <v>587</v>
      </c>
      <c r="F90" s="19" t="s">
        <v>588</v>
      </c>
      <c r="G90" s="20" t="s">
        <v>42</v>
      </c>
      <c r="H90" s="17" t="s">
        <v>555</v>
      </c>
      <c r="I90" s="17" t="s">
        <v>156</v>
      </c>
      <c r="J90" s="17">
        <v>1</v>
      </c>
      <c r="K90" s="19" t="s">
        <v>25</v>
      </c>
      <c r="L90" s="17"/>
      <c r="M90" s="17"/>
      <c r="N90" s="17" t="s">
        <v>589</v>
      </c>
      <c r="O90" s="17"/>
    </row>
    <row r="91" spans="1:15" ht="29.25" customHeight="1" x14ac:dyDescent="0.3">
      <c r="A91" s="17" t="s">
        <v>590</v>
      </c>
      <c r="B91" s="25" t="s">
        <v>418</v>
      </c>
      <c r="C91" s="17" t="s">
        <v>300</v>
      </c>
      <c r="D91" s="17" t="s">
        <v>591</v>
      </c>
      <c r="E91" s="17" t="s">
        <v>592</v>
      </c>
      <c r="F91" s="19" t="s">
        <v>593</v>
      </c>
      <c r="G91" s="21" t="s">
        <v>44</v>
      </c>
      <c r="H91" s="17" t="s">
        <v>229</v>
      </c>
      <c r="I91" s="17" t="s">
        <v>156</v>
      </c>
      <c r="J91" s="17">
        <v>2</v>
      </c>
      <c r="K91" s="19" t="s">
        <v>25</v>
      </c>
      <c r="L91" s="17"/>
      <c r="M91" s="17"/>
      <c r="N91" s="17" t="s">
        <v>594</v>
      </c>
      <c r="O91" s="19" t="s">
        <v>595</v>
      </c>
    </row>
    <row r="92" spans="1:15" ht="29.25" customHeight="1" x14ac:dyDescent="0.3">
      <c r="A92" s="17" t="s">
        <v>596</v>
      </c>
      <c r="B92" s="25" t="s">
        <v>418</v>
      </c>
      <c r="C92" s="17" t="s">
        <v>300</v>
      </c>
      <c r="D92" s="17" t="s">
        <v>591</v>
      </c>
      <c r="E92" s="17" t="s">
        <v>597</v>
      </c>
      <c r="F92" s="19" t="s">
        <v>598</v>
      </c>
      <c r="G92" s="21" t="s">
        <v>44</v>
      </c>
      <c r="H92" s="17" t="s">
        <v>229</v>
      </c>
      <c r="I92" s="17" t="s">
        <v>156</v>
      </c>
      <c r="J92" s="17">
        <v>2</v>
      </c>
      <c r="K92" s="19" t="s">
        <v>25</v>
      </c>
      <c r="L92" s="17"/>
      <c r="M92" s="17"/>
      <c r="N92" s="17" t="s">
        <v>599</v>
      </c>
      <c r="O92" s="19" t="s">
        <v>600</v>
      </c>
    </row>
    <row r="93" spans="1:15" ht="29.25" customHeight="1" x14ac:dyDescent="0.3">
      <c r="A93" s="17" t="s">
        <v>601</v>
      </c>
      <c r="B93" s="25" t="s">
        <v>418</v>
      </c>
      <c r="C93" s="17" t="s">
        <v>300</v>
      </c>
      <c r="D93" s="17" t="s">
        <v>55</v>
      </c>
      <c r="E93" s="17" t="s">
        <v>602</v>
      </c>
      <c r="F93" s="19" t="s">
        <v>603</v>
      </c>
      <c r="G93" s="21" t="s">
        <v>44</v>
      </c>
      <c r="H93" s="17" t="s">
        <v>604</v>
      </c>
      <c r="I93" s="17" t="s">
        <v>156</v>
      </c>
      <c r="J93" s="17">
        <v>1.5</v>
      </c>
      <c r="K93" s="19" t="s">
        <v>25</v>
      </c>
      <c r="L93" s="17"/>
      <c r="M93" s="17"/>
      <c r="N93" s="17" t="s">
        <v>605</v>
      </c>
      <c r="O93" s="17"/>
    </row>
    <row r="94" spans="1:15" ht="29.25" customHeight="1" x14ac:dyDescent="0.3">
      <c r="A94" s="17" t="s">
        <v>606</v>
      </c>
      <c r="B94" s="26" t="s">
        <v>607</v>
      </c>
      <c r="C94" s="17" t="s">
        <v>608</v>
      </c>
      <c r="D94" s="17" t="s">
        <v>562</v>
      </c>
      <c r="E94" s="17" t="s">
        <v>609</v>
      </c>
      <c r="F94" s="17" t="s">
        <v>610</v>
      </c>
      <c r="G94" s="23" t="s">
        <v>40</v>
      </c>
      <c r="H94" s="17" t="s">
        <v>97</v>
      </c>
      <c r="I94" s="17" t="s">
        <v>156</v>
      </c>
      <c r="J94" s="17">
        <v>3</v>
      </c>
      <c r="K94" s="19" t="s">
        <v>25</v>
      </c>
      <c r="L94" s="17"/>
      <c r="M94" s="17"/>
      <c r="N94" s="17" t="s">
        <v>611</v>
      </c>
      <c r="O94" s="17"/>
    </row>
    <row r="95" spans="1:15" ht="29.25" customHeight="1" x14ac:dyDescent="0.3">
      <c r="A95" s="17" t="s">
        <v>612</v>
      </c>
      <c r="B95" s="26" t="s">
        <v>607</v>
      </c>
      <c r="C95" s="17" t="s">
        <v>608</v>
      </c>
      <c r="D95" s="17" t="s">
        <v>562</v>
      </c>
      <c r="E95" s="17" t="s">
        <v>613</v>
      </c>
      <c r="F95" s="17" t="s">
        <v>614</v>
      </c>
      <c r="G95" s="23" t="s">
        <v>40</v>
      </c>
      <c r="H95" s="17" t="s">
        <v>606</v>
      </c>
      <c r="I95" s="17" t="s">
        <v>156</v>
      </c>
      <c r="J95" s="17">
        <v>4</v>
      </c>
      <c r="K95" s="19" t="s">
        <v>25</v>
      </c>
      <c r="L95" s="17"/>
      <c r="M95" s="17"/>
      <c r="N95" s="17" t="s">
        <v>615</v>
      </c>
      <c r="O95" s="17"/>
    </row>
    <row r="96" spans="1:15" ht="15" customHeight="1" x14ac:dyDescent="0.3">
      <c r="A96" s="17" t="s">
        <v>616</v>
      </c>
      <c r="B96" s="26" t="s">
        <v>607</v>
      </c>
      <c r="C96" s="17" t="s">
        <v>426</v>
      </c>
      <c r="D96" s="17" t="s">
        <v>100</v>
      </c>
      <c r="E96" s="17" t="s">
        <v>617</v>
      </c>
      <c r="F96" s="17" t="s">
        <v>618</v>
      </c>
      <c r="G96" s="23" t="s">
        <v>40</v>
      </c>
      <c r="H96" s="17" t="s">
        <v>182</v>
      </c>
      <c r="I96" s="17" t="s">
        <v>156</v>
      </c>
      <c r="J96" s="17">
        <v>3</v>
      </c>
      <c r="K96" s="19" t="s">
        <v>25</v>
      </c>
      <c r="L96" s="17"/>
      <c r="M96" s="17"/>
      <c r="N96" s="17" t="s">
        <v>619</v>
      </c>
      <c r="O96" s="17"/>
    </row>
    <row r="97" spans="1:15" ht="15" customHeight="1" x14ac:dyDescent="0.3">
      <c r="A97" s="17" t="s">
        <v>620</v>
      </c>
      <c r="B97" s="26" t="s">
        <v>607</v>
      </c>
      <c r="C97" s="17" t="s">
        <v>608</v>
      </c>
      <c r="D97" s="17" t="s">
        <v>621</v>
      </c>
      <c r="E97" s="19" t="s">
        <v>622</v>
      </c>
      <c r="F97" s="19" t="s">
        <v>623</v>
      </c>
      <c r="G97" s="20" t="s">
        <v>42</v>
      </c>
      <c r="H97" s="17" t="s">
        <v>624</v>
      </c>
      <c r="I97" s="17" t="s">
        <v>156</v>
      </c>
      <c r="J97" s="17">
        <v>0.5</v>
      </c>
      <c r="K97" s="19" t="s">
        <v>25</v>
      </c>
      <c r="L97" s="17"/>
      <c r="M97" s="17"/>
      <c r="N97" s="17" t="s">
        <v>625</v>
      </c>
      <c r="O97" s="17"/>
    </row>
    <row r="98" spans="1:15" ht="15" customHeight="1" x14ac:dyDescent="0.3">
      <c r="A98" s="17" t="s">
        <v>626</v>
      </c>
      <c r="B98" s="26" t="s">
        <v>607</v>
      </c>
      <c r="C98" s="17" t="s">
        <v>608</v>
      </c>
      <c r="D98" s="17" t="s">
        <v>562</v>
      </c>
      <c r="E98" s="19" t="s">
        <v>627</v>
      </c>
      <c r="F98" s="19" t="s">
        <v>628</v>
      </c>
      <c r="G98" s="20" t="s">
        <v>42</v>
      </c>
      <c r="H98" s="17" t="s">
        <v>612</v>
      </c>
      <c r="I98" s="17" t="s">
        <v>156</v>
      </c>
      <c r="J98" s="17">
        <v>2</v>
      </c>
      <c r="K98" s="19" t="s">
        <v>25</v>
      </c>
      <c r="L98" s="17"/>
      <c r="M98" s="17"/>
      <c r="N98" s="17" t="s">
        <v>629</v>
      </c>
      <c r="O98" s="17"/>
    </row>
    <row r="99" spans="1:15" ht="29.25" customHeight="1" x14ac:dyDescent="0.3">
      <c r="A99" s="17" t="s">
        <v>630</v>
      </c>
      <c r="B99" s="26" t="s">
        <v>607</v>
      </c>
      <c r="C99" s="17" t="s">
        <v>608</v>
      </c>
      <c r="D99" s="17" t="s">
        <v>631</v>
      </c>
      <c r="E99" s="19" t="s">
        <v>632</v>
      </c>
      <c r="F99" s="19" t="s">
        <v>633</v>
      </c>
      <c r="G99" s="20" t="s">
        <v>42</v>
      </c>
      <c r="H99" s="17" t="s">
        <v>612</v>
      </c>
      <c r="I99" s="17" t="s">
        <v>156</v>
      </c>
      <c r="J99" s="17">
        <v>2</v>
      </c>
      <c r="K99" s="19" t="s">
        <v>25</v>
      </c>
      <c r="L99" s="17"/>
      <c r="M99" s="17"/>
      <c r="N99" s="17" t="s">
        <v>634</v>
      </c>
      <c r="O99" s="17"/>
    </row>
    <row r="100" spans="1:15" ht="29.25" customHeight="1" x14ac:dyDescent="0.3">
      <c r="A100" s="17" t="s">
        <v>635</v>
      </c>
      <c r="B100" s="26" t="s">
        <v>607</v>
      </c>
      <c r="C100" s="17" t="s">
        <v>608</v>
      </c>
      <c r="D100" s="17" t="s">
        <v>636</v>
      </c>
      <c r="E100" s="19" t="s">
        <v>637</v>
      </c>
      <c r="F100" s="19" t="s">
        <v>638</v>
      </c>
      <c r="G100" s="20" t="s">
        <v>42</v>
      </c>
      <c r="H100" s="17" t="s">
        <v>612</v>
      </c>
      <c r="I100" s="17" t="s">
        <v>156</v>
      </c>
      <c r="J100" s="17">
        <v>2</v>
      </c>
      <c r="K100" s="19" t="s">
        <v>25</v>
      </c>
      <c r="L100" s="17"/>
      <c r="M100" s="17"/>
      <c r="N100" s="17" t="s">
        <v>639</v>
      </c>
      <c r="O100" s="17"/>
    </row>
    <row r="101" spans="1:15" ht="29.25" customHeight="1" x14ac:dyDescent="0.3">
      <c r="A101" s="17" t="s">
        <v>640</v>
      </c>
      <c r="B101" s="26" t="s">
        <v>607</v>
      </c>
      <c r="C101" s="17" t="s">
        <v>608</v>
      </c>
      <c r="D101" s="17" t="s">
        <v>641</v>
      </c>
      <c r="E101" s="19" t="s">
        <v>642</v>
      </c>
      <c r="F101" s="19" t="s">
        <v>643</v>
      </c>
      <c r="G101" s="20" t="s">
        <v>42</v>
      </c>
      <c r="H101" s="17" t="s">
        <v>612</v>
      </c>
      <c r="I101" s="17" t="s">
        <v>156</v>
      </c>
      <c r="J101" s="17">
        <v>1.5</v>
      </c>
      <c r="K101" s="19" t="s">
        <v>25</v>
      </c>
      <c r="L101" s="17"/>
      <c r="M101" s="17"/>
      <c r="N101" s="17" t="s">
        <v>644</v>
      </c>
      <c r="O101" s="17"/>
    </row>
    <row r="102" spans="1:15" ht="15" customHeight="1" x14ac:dyDescent="0.3">
      <c r="A102" s="17" t="s">
        <v>645</v>
      </c>
      <c r="B102" s="26" t="s">
        <v>607</v>
      </c>
      <c r="C102" s="17" t="s">
        <v>608</v>
      </c>
      <c r="D102" s="17" t="s">
        <v>562</v>
      </c>
      <c r="E102" s="17" t="s">
        <v>646</v>
      </c>
      <c r="F102" s="19" t="s">
        <v>647</v>
      </c>
      <c r="G102" s="20" t="s">
        <v>42</v>
      </c>
      <c r="H102" s="17" t="s">
        <v>612</v>
      </c>
      <c r="I102" s="17" t="s">
        <v>156</v>
      </c>
      <c r="J102" s="17">
        <v>2</v>
      </c>
      <c r="K102" s="19" t="s">
        <v>25</v>
      </c>
      <c r="L102" s="17"/>
      <c r="M102" s="17"/>
      <c r="N102" s="17" t="s">
        <v>648</v>
      </c>
      <c r="O102" s="17"/>
    </row>
    <row r="103" spans="1:15" ht="29.25" customHeight="1" x14ac:dyDescent="0.3">
      <c r="A103" s="17" t="s">
        <v>559</v>
      </c>
      <c r="B103" s="26" t="s">
        <v>607</v>
      </c>
      <c r="C103" s="17" t="s">
        <v>608</v>
      </c>
      <c r="D103" s="17" t="s">
        <v>649</v>
      </c>
      <c r="E103" s="19" t="s">
        <v>650</v>
      </c>
      <c r="F103" s="19" t="s">
        <v>651</v>
      </c>
      <c r="G103" s="20" t="s">
        <v>42</v>
      </c>
      <c r="H103" s="17" t="s">
        <v>612</v>
      </c>
      <c r="I103" s="17" t="s">
        <v>156</v>
      </c>
      <c r="J103" s="17">
        <v>1</v>
      </c>
      <c r="K103" s="19" t="s">
        <v>25</v>
      </c>
      <c r="L103" s="17"/>
      <c r="M103" s="17"/>
      <c r="N103" s="17" t="s">
        <v>652</v>
      </c>
      <c r="O103" s="17"/>
    </row>
    <row r="104" spans="1:15" ht="29.25" customHeight="1" x14ac:dyDescent="0.3">
      <c r="A104" s="17" t="s">
        <v>653</v>
      </c>
      <c r="B104" s="26" t="s">
        <v>607</v>
      </c>
      <c r="C104" s="19" t="s">
        <v>654</v>
      </c>
      <c r="D104" s="17" t="s">
        <v>655</v>
      </c>
      <c r="E104" s="17" t="s">
        <v>656</v>
      </c>
      <c r="F104" s="17" t="s">
        <v>657</v>
      </c>
      <c r="G104" s="21" t="s">
        <v>44</v>
      </c>
      <c r="H104" s="17"/>
      <c r="I104" s="17" t="s">
        <v>156</v>
      </c>
      <c r="J104" s="17">
        <v>1.5</v>
      </c>
      <c r="K104" s="19" t="s">
        <v>25</v>
      </c>
      <c r="L104" s="17"/>
      <c r="M104" s="17"/>
      <c r="N104" s="19" t="s">
        <v>658</v>
      </c>
      <c r="O104" s="17" t="s">
        <v>659</v>
      </c>
    </row>
    <row r="105" spans="1:15" ht="29.25" customHeight="1" x14ac:dyDescent="0.3">
      <c r="A105" s="17" t="s">
        <v>660</v>
      </c>
      <c r="B105" s="26" t="s">
        <v>607</v>
      </c>
      <c r="C105" s="17" t="s">
        <v>608</v>
      </c>
      <c r="D105" s="17" t="s">
        <v>562</v>
      </c>
      <c r="E105" s="19" t="s">
        <v>661</v>
      </c>
      <c r="F105" s="19" t="s">
        <v>662</v>
      </c>
      <c r="G105" s="21" t="s">
        <v>44</v>
      </c>
      <c r="H105" s="17" t="s">
        <v>612</v>
      </c>
      <c r="I105" s="17" t="s">
        <v>156</v>
      </c>
      <c r="J105" s="17">
        <v>1.5</v>
      </c>
      <c r="K105" s="19" t="s">
        <v>25</v>
      </c>
      <c r="L105" s="17"/>
      <c r="M105" s="17"/>
      <c r="N105" s="17" t="s">
        <v>663</v>
      </c>
      <c r="O105" s="17"/>
    </row>
    <row r="106" spans="1:15" ht="26.25" customHeight="1" x14ac:dyDescent="0.3">
      <c r="A106" s="17" t="s">
        <v>664</v>
      </c>
      <c r="B106" s="27" t="s">
        <v>665</v>
      </c>
      <c r="C106" s="19" t="s">
        <v>666</v>
      </c>
      <c r="D106" s="17" t="s">
        <v>667</v>
      </c>
      <c r="E106" s="19" t="s">
        <v>668</v>
      </c>
      <c r="F106" s="19" t="s">
        <v>669</v>
      </c>
      <c r="G106" s="20" t="s">
        <v>42</v>
      </c>
      <c r="H106" s="17" t="s">
        <v>201</v>
      </c>
      <c r="I106" s="17" t="s">
        <v>156</v>
      </c>
      <c r="J106" s="17">
        <v>2</v>
      </c>
      <c r="K106" s="19" t="s">
        <v>25</v>
      </c>
      <c r="L106" s="17"/>
      <c r="M106" s="17"/>
      <c r="N106" s="17" t="s">
        <v>670</v>
      </c>
      <c r="O106" s="17"/>
    </row>
    <row r="107" spans="1:15" ht="26.25" customHeight="1" x14ac:dyDescent="0.3">
      <c r="A107" s="17" t="s">
        <v>671</v>
      </c>
      <c r="B107" s="27" t="s">
        <v>665</v>
      </c>
      <c r="C107" s="19" t="s">
        <v>666</v>
      </c>
      <c r="D107" s="17" t="s">
        <v>146</v>
      </c>
      <c r="E107" s="17" t="s">
        <v>672</v>
      </c>
      <c r="F107" s="19" t="s">
        <v>673</v>
      </c>
      <c r="G107" s="20" t="s">
        <v>42</v>
      </c>
      <c r="H107" s="17" t="s">
        <v>201</v>
      </c>
      <c r="I107" s="17" t="s">
        <v>156</v>
      </c>
      <c r="J107" s="17">
        <v>2</v>
      </c>
      <c r="K107" s="19" t="s">
        <v>25</v>
      </c>
      <c r="L107" s="17"/>
      <c r="M107" s="17"/>
      <c r="N107" s="17" t="s">
        <v>674</v>
      </c>
      <c r="O107" s="17"/>
    </row>
    <row r="108" spans="1:15" ht="29.25" customHeight="1" x14ac:dyDescent="0.3">
      <c r="A108" s="17" t="s">
        <v>675</v>
      </c>
      <c r="B108" s="27" t="s">
        <v>665</v>
      </c>
      <c r="C108" s="19" t="s">
        <v>666</v>
      </c>
      <c r="D108" s="17" t="s">
        <v>146</v>
      </c>
      <c r="E108" s="19" t="s">
        <v>676</v>
      </c>
      <c r="F108" s="19" t="s">
        <v>677</v>
      </c>
      <c r="G108" s="20" t="s">
        <v>42</v>
      </c>
      <c r="H108" s="17" t="s">
        <v>201</v>
      </c>
      <c r="I108" s="17" t="s">
        <v>156</v>
      </c>
      <c r="J108" s="17">
        <v>1.5</v>
      </c>
      <c r="K108" s="19" t="s">
        <v>25</v>
      </c>
      <c r="L108" s="17"/>
      <c r="M108" s="17"/>
      <c r="N108" s="17" t="s">
        <v>678</v>
      </c>
      <c r="O108" s="17"/>
    </row>
    <row r="109" spans="1:15" ht="29.25" customHeight="1" x14ac:dyDescent="0.3">
      <c r="A109" s="17" t="s">
        <v>679</v>
      </c>
      <c r="B109" s="27" t="s">
        <v>665</v>
      </c>
      <c r="C109" s="19" t="s">
        <v>680</v>
      </c>
      <c r="D109" s="17" t="s">
        <v>146</v>
      </c>
      <c r="E109" s="19" t="s">
        <v>681</v>
      </c>
      <c r="F109" s="19" t="s">
        <v>682</v>
      </c>
      <c r="G109" s="20" t="s">
        <v>42</v>
      </c>
      <c r="H109" s="17" t="s">
        <v>683</v>
      </c>
      <c r="I109" s="17" t="s">
        <v>156</v>
      </c>
      <c r="J109" s="17">
        <v>3</v>
      </c>
      <c r="K109" s="19" t="s">
        <v>25</v>
      </c>
      <c r="L109" s="17"/>
      <c r="M109" s="17"/>
      <c r="N109" s="17" t="s">
        <v>684</v>
      </c>
      <c r="O109" s="17"/>
    </row>
    <row r="110" spans="1:15" ht="29.25" customHeight="1" x14ac:dyDescent="0.3">
      <c r="A110" s="17" t="s">
        <v>685</v>
      </c>
      <c r="B110" s="27" t="s">
        <v>665</v>
      </c>
      <c r="C110" s="19" t="s">
        <v>686</v>
      </c>
      <c r="D110" s="17" t="s">
        <v>667</v>
      </c>
      <c r="E110" s="19" t="s">
        <v>687</v>
      </c>
      <c r="F110" s="19" t="s">
        <v>688</v>
      </c>
      <c r="G110" s="20" t="s">
        <v>42</v>
      </c>
      <c r="H110" s="17" t="s">
        <v>689</v>
      </c>
      <c r="I110" s="17" t="s">
        <v>156</v>
      </c>
      <c r="J110" s="17">
        <v>2</v>
      </c>
      <c r="K110" s="19" t="s">
        <v>25</v>
      </c>
      <c r="L110" s="17"/>
      <c r="M110" s="17"/>
      <c r="N110" s="17" t="s">
        <v>690</v>
      </c>
      <c r="O110" s="17"/>
    </row>
    <row r="111" spans="1:15" ht="29.25" customHeight="1" x14ac:dyDescent="0.3">
      <c r="A111" s="17" t="s">
        <v>691</v>
      </c>
      <c r="B111" s="27" t="s">
        <v>665</v>
      </c>
      <c r="C111" s="19" t="s">
        <v>686</v>
      </c>
      <c r="D111" s="17" t="s">
        <v>641</v>
      </c>
      <c r="E111" s="17" t="s">
        <v>692</v>
      </c>
      <c r="F111" s="19" t="s">
        <v>693</v>
      </c>
      <c r="G111" s="20" t="s">
        <v>42</v>
      </c>
      <c r="H111" s="17" t="s">
        <v>685</v>
      </c>
      <c r="I111" s="17" t="s">
        <v>156</v>
      </c>
      <c r="J111" s="17">
        <v>1</v>
      </c>
      <c r="K111" s="19" t="s">
        <v>25</v>
      </c>
      <c r="L111" s="17"/>
      <c r="M111" s="17"/>
      <c r="N111" s="17" t="s">
        <v>694</v>
      </c>
      <c r="O111" s="17"/>
    </row>
    <row r="112" spans="1:15" ht="29.25" customHeight="1" x14ac:dyDescent="0.3">
      <c r="A112" s="17" t="s">
        <v>695</v>
      </c>
      <c r="B112" s="27" t="s">
        <v>665</v>
      </c>
      <c r="C112" s="19" t="s">
        <v>654</v>
      </c>
      <c r="D112" s="17" t="s">
        <v>509</v>
      </c>
      <c r="E112" s="17" t="s">
        <v>696</v>
      </c>
      <c r="F112" s="19" t="s">
        <v>697</v>
      </c>
      <c r="G112" s="21" t="s">
        <v>44</v>
      </c>
      <c r="H112" s="17" t="s">
        <v>144</v>
      </c>
      <c r="I112" s="17" t="s">
        <v>156</v>
      </c>
      <c r="J112" s="17">
        <v>3</v>
      </c>
      <c r="K112" s="19" t="s">
        <v>25</v>
      </c>
      <c r="L112" s="17"/>
      <c r="M112" s="17"/>
      <c r="N112" s="17" t="s">
        <v>698</v>
      </c>
      <c r="O112" s="17" t="s">
        <v>699</v>
      </c>
    </row>
    <row r="113" spans="1:15" ht="15" customHeight="1" x14ac:dyDescent="0.3">
      <c r="A113" s="17" t="s">
        <v>700</v>
      </c>
      <c r="B113" s="27" t="s">
        <v>665</v>
      </c>
      <c r="C113" s="19" t="s">
        <v>666</v>
      </c>
      <c r="D113" s="17" t="s">
        <v>146</v>
      </c>
      <c r="E113" s="17" t="s">
        <v>701</v>
      </c>
      <c r="F113" s="19" t="s">
        <v>702</v>
      </c>
      <c r="G113" s="21" t="s">
        <v>44</v>
      </c>
      <c r="H113" s="17" t="s">
        <v>201</v>
      </c>
      <c r="I113" s="17" t="s">
        <v>156</v>
      </c>
      <c r="J113" s="17">
        <v>2</v>
      </c>
      <c r="K113" s="19" t="s">
        <v>25</v>
      </c>
      <c r="L113" s="17"/>
      <c r="M113" s="17"/>
      <c r="N113" s="17" t="s">
        <v>703</v>
      </c>
      <c r="O113" s="17"/>
    </row>
    <row r="114" spans="1:15" ht="29.25" customHeight="1" x14ac:dyDescent="0.3">
      <c r="A114" s="17" t="s">
        <v>704</v>
      </c>
      <c r="B114" s="28" t="s">
        <v>705</v>
      </c>
      <c r="C114" s="19" t="s">
        <v>706</v>
      </c>
      <c r="D114" s="17" t="s">
        <v>707</v>
      </c>
      <c r="E114" s="17" t="s">
        <v>708</v>
      </c>
      <c r="F114" s="17" t="s">
        <v>709</v>
      </c>
      <c r="G114" s="23" t="s">
        <v>40</v>
      </c>
      <c r="H114" s="17" t="s">
        <v>710</v>
      </c>
      <c r="I114" s="17" t="s">
        <v>156</v>
      </c>
      <c r="J114" s="17">
        <v>2</v>
      </c>
      <c r="K114" s="19" t="s">
        <v>25</v>
      </c>
      <c r="L114" s="17"/>
      <c r="M114" s="17"/>
      <c r="N114" s="17" t="s">
        <v>711</v>
      </c>
      <c r="O114" s="17"/>
    </row>
    <row r="115" spans="1:15" ht="29.25" customHeight="1" x14ac:dyDescent="0.3">
      <c r="A115" s="17" t="s">
        <v>712</v>
      </c>
      <c r="B115" s="28" t="s">
        <v>705</v>
      </c>
      <c r="C115" s="19" t="s">
        <v>125</v>
      </c>
      <c r="D115" s="17" t="s">
        <v>713</v>
      </c>
      <c r="E115" s="17" t="s">
        <v>714</v>
      </c>
      <c r="F115" s="17" t="s">
        <v>715</v>
      </c>
      <c r="G115" s="23" t="s">
        <v>40</v>
      </c>
      <c r="H115" s="17" t="s">
        <v>716</v>
      </c>
      <c r="I115" s="17" t="s">
        <v>156</v>
      </c>
      <c r="J115" s="17">
        <v>1.5</v>
      </c>
      <c r="K115" s="19" t="s">
        <v>25</v>
      </c>
      <c r="L115" s="17"/>
      <c r="M115" s="17"/>
      <c r="N115" s="17" t="s">
        <v>717</v>
      </c>
      <c r="O115" s="17"/>
    </row>
    <row r="116" spans="1:15" ht="29.25" customHeight="1" x14ac:dyDescent="0.3">
      <c r="A116" s="17" t="s">
        <v>718</v>
      </c>
      <c r="B116" s="28" t="s">
        <v>705</v>
      </c>
      <c r="C116" s="19" t="s">
        <v>706</v>
      </c>
      <c r="D116" s="17" t="s">
        <v>528</v>
      </c>
      <c r="E116" s="19" t="s">
        <v>719</v>
      </c>
      <c r="F116" s="17" t="s">
        <v>720</v>
      </c>
      <c r="G116" s="20" t="s">
        <v>42</v>
      </c>
      <c r="H116" s="17" t="s">
        <v>704</v>
      </c>
      <c r="I116" s="17" t="s">
        <v>156</v>
      </c>
      <c r="J116" s="17">
        <v>1.5</v>
      </c>
      <c r="K116" s="19" t="s">
        <v>25</v>
      </c>
      <c r="L116" s="17"/>
      <c r="M116" s="17"/>
      <c r="N116" s="17" t="s">
        <v>721</v>
      </c>
      <c r="O116" s="17"/>
    </row>
    <row r="117" spans="1:15" ht="29.25" customHeight="1" x14ac:dyDescent="0.3">
      <c r="A117" s="17" t="s">
        <v>722</v>
      </c>
      <c r="B117" s="28" t="s">
        <v>705</v>
      </c>
      <c r="C117" s="19" t="s">
        <v>706</v>
      </c>
      <c r="D117" s="17" t="s">
        <v>723</v>
      </c>
      <c r="E117" s="17" t="s">
        <v>724</v>
      </c>
      <c r="F117" s="17" t="s">
        <v>725</v>
      </c>
      <c r="G117" s="20" t="s">
        <v>42</v>
      </c>
      <c r="H117" s="17" t="s">
        <v>704</v>
      </c>
      <c r="I117" s="17" t="s">
        <v>156</v>
      </c>
      <c r="J117" s="17">
        <v>1</v>
      </c>
      <c r="K117" s="19" t="s">
        <v>25</v>
      </c>
      <c r="L117" s="17"/>
      <c r="M117" s="17"/>
      <c r="N117" s="17" t="s">
        <v>726</v>
      </c>
      <c r="O117" s="17"/>
    </row>
    <row r="118" spans="1:15" ht="15" customHeight="1" x14ac:dyDescent="0.3">
      <c r="A118" s="17" t="s">
        <v>727</v>
      </c>
      <c r="B118" s="28" t="s">
        <v>705</v>
      </c>
      <c r="C118" s="19" t="s">
        <v>411</v>
      </c>
      <c r="D118" s="17" t="s">
        <v>728</v>
      </c>
      <c r="E118" s="17" t="s">
        <v>729</v>
      </c>
      <c r="F118" s="17" t="s">
        <v>730</v>
      </c>
      <c r="G118" s="21" t="s">
        <v>44</v>
      </c>
      <c r="H118" s="17" t="s">
        <v>731</v>
      </c>
      <c r="I118" s="17" t="s">
        <v>156</v>
      </c>
      <c r="J118" s="17">
        <v>2</v>
      </c>
      <c r="K118" s="19" t="s">
        <v>25</v>
      </c>
      <c r="L118" s="17"/>
      <c r="M118" s="17"/>
      <c r="N118" s="19" t="s">
        <v>732</v>
      </c>
      <c r="O118" s="17" t="s">
        <v>733</v>
      </c>
    </row>
    <row r="119" spans="1:15" ht="15" customHeight="1" x14ac:dyDescent="0.3">
      <c r="A119" s="17" t="s">
        <v>734</v>
      </c>
      <c r="B119" s="28" t="s">
        <v>705</v>
      </c>
      <c r="C119" s="19" t="s">
        <v>706</v>
      </c>
      <c r="D119" s="17" t="s">
        <v>528</v>
      </c>
      <c r="E119" s="19" t="s">
        <v>735</v>
      </c>
      <c r="F119" s="19" t="s">
        <v>736</v>
      </c>
      <c r="G119" s="21" t="s">
        <v>44</v>
      </c>
      <c r="H119" s="17" t="s">
        <v>704</v>
      </c>
      <c r="I119" s="17" t="s">
        <v>156</v>
      </c>
      <c r="J119" s="17">
        <v>1</v>
      </c>
      <c r="K119" s="19" t="s">
        <v>25</v>
      </c>
      <c r="L119" s="17"/>
      <c r="M119" s="17"/>
      <c r="N119" s="17" t="s">
        <v>737</v>
      </c>
      <c r="O119" s="17"/>
    </row>
    <row r="120" spans="1:15" ht="15" customHeight="1" x14ac:dyDescent="0.3">
      <c r="A120" s="17" t="s">
        <v>738</v>
      </c>
      <c r="B120" s="29" t="s">
        <v>739</v>
      </c>
      <c r="C120" s="19" t="s">
        <v>740</v>
      </c>
      <c r="D120" s="17" t="s">
        <v>741</v>
      </c>
      <c r="E120" s="17" t="s">
        <v>742</v>
      </c>
      <c r="F120" s="19" t="s">
        <v>743</v>
      </c>
      <c r="G120" s="30" t="s">
        <v>46</v>
      </c>
      <c r="H120" s="17" t="s">
        <v>440</v>
      </c>
      <c r="I120" s="17" t="s">
        <v>156</v>
      </c>
      <c r="J120" s="17">
        <v>1</v>
      </c>
      <c r="K120" s="19" t="s">
        <v>25</v>
      </c>
      <c r="L120" s="17"/>
      <c r="M120" s="17"/>
      <c r="N120" s="17" t="s">
        <v>744</v>
      </c>
      <c r="O120" s="17" t="s">
        <v>745</v>
      </c>
    </row>
    <row r="121" spans="1:15" ht="23.25" customHeight="1" x14ac:dyDescent="0.3">
      <c r="A121" s="17" t="s">
        <v>746</v>
      </c>
      <c r="B121" s="29" t="s">
        <v>739</v>
      </c>
      <c r="C121" s="19" t="s">
        <v>740</v>
      </c>
      <c r="D121" s="17" t="s">
        <v>741</v>
      </c>
      <c r="E121" s="19" t="s">
        <v>747</v>
      </c>
      <c r="F121" s="17" t="s">
        <v>748</v>
      </c>
      <c r="G121" s="30" t="s">
        <v>46</v>
      </c>
      <c r="H121" s="17" t="s">
        <v>679</v>
      </c>
      <c r="I121" s="17" t="s">
        <v>156</v>
      </c>
      <c r="J121" s="17">
        <v>0.5</v>
      </c>
      <c r="K121" s="19" t="s">
        <v>25</v>
      </c>
      <c r="L121" s="17"/>
      <c r="M121" s="17"/>
      <c r="N121" s="17" t="s">
        <v>749</v>
      </c>
      <c r="O121" s="17" t="s">
        <v>750</v>
      </c>
    </row>
    <row r="122" spans="1:15" ht="29.25" customHeight="1" x14ac:dyDescent="0.3">
      <c r="A122" s="17" t="s">
        <v>751</v>
      </c>
      <c r="B122" s="29" t="s">
        <v>739</v>
      </c>
      <c r="C122" s="19" t="s">
        <v>740</v>
      </c>
      <c r="D122" s="17" t="s">
        <v>741</v>
      </c>
      <c r="E122" s="19" t="s">
        <v>752</v>
      </c>
      <c r="F122" s="19" t="s">
        <v>753</v>
      </c>
      <c r="G122" s="30" t="s">
        <v>46</v>
      </c>
      <c r="H122" s="17" t="s">
        <v>440</v>
      </c>
      <c r="I122" s="17" t="s">
        <v>156</v>
      </c>
      <c r="J122" s="17">
        <v>0.5</v>
      </c>
      <c r="K122" s="19" t="s">
        <v>25</v>
      </c>
      <c r="L122" s="17"/>
      <c r="M122" s="17"/>
      <c r="N122" s="17" t="s">
        <v>754</v>
      </c>
      <c r="O122" s="17" t="s">
        <v>755</v>
      </c>
    </row>
    <row r="123" spans="1:15" ht="15" customHeight="1" x14ac:dyDescent="0.3">
      <c r="A123" s="17" t="s">
        <v>756</v>
      </c>
      <c r="B123" s="29" t="s">
        <v>739</v>
      </c>
      <c r="C123" s="19" t="s">
        <v>740</v>
      </c>
      <c r="D123" s="17" t="s">
        <v>741</v>
      </c>
      <c r="E123" s="19" t="s">
        <v>757</v>
      </c>
      <c r="F123" s="17" t="s">
        <v>758</v>
      </c>
      <c r="G123" s="30" t="s">
        <v>46</v>
      </c>
      <c r="H123" s="17" t="s">
        <v>738</v>
      </c>
      <c r="I123" s="17" t="s">
        <v>156</v>
      </c>
      <c r="J123" s="17">
        <v>1</v>
      </c>
      <c r="K123" s="19" t="s">
        <v>25</v>
      </c>
      <c r="L123" s="17"/>
      <c r="M123" s="17"/>
      <c r="N123" s="17" t="s">
        <v>759</v>
      </c>
      <c r="O123" s="17" t="s">
        <v>760</v>
      </c>
    </row>
    <row r="124" spans="1:15" ht="29.25" customHeight="1" x14ac:dyDescent="0.3">
      <c r="A124" s="17" t="s">
        <v>761</v>
      </c>
      <c r="B124" s="29" t="s">
        <v>739</v>
      </c>
      <c r="C124" s="19" t="s">
        <v>740</v>
      </c>
      <c r="D124" s="17" t="s">
        <v>741</v>
      </c>
      <c r="E124" s="19" t="s">
        <v>762</v>
      </c>
      <c r="F124" s="19" t="s">
        <v>763</v>
      </c>
      <c r="G124" s="30" t="s">
        <v>46</v>
      </c>
      <c r="H124" s="17" t="s">
        <v>764</v>
      </c>
      <c r="I124" s="17" t="s">
        <v>156</v>
      </c>
      <c r="J124" s="17">
        <v>1.5</v>
      </c>
      <c r="K124" s="19" t="s">
        <v>25</v>
      </c>
      <c r="L124" s="17"/>
      <c r="M124" s="17"/>
      <c r="N124" s="17" t="s">
        <v>765</v>
      </c>
      <c r="O124" s="17" t="s">
        <v>766</v>
      </c>
    </row>
    <row r="125" spans="1:15" ht="29.25" customHeight="1" x14ac:dyDescent="0.3">
      <c r="A125" s="17" t="s">
        <v>767</v>
      </c>
      <c r="B125" s="29" t="s">
        <v>739</v>
      </c>
      <c r="C125" s="19" t="s">
        <v>125</v>
      </c>
      <c r="D125" s="17" t="s">
        <v>768</v>
      </c>
      <c r="E125" s="17" t="s">
        <v>769</v>
      </c>
      <c r="F125" s="17" t="s">
        <v>770</v>
      </c>
      <c r="G125" s="30" t="s">
        <v>46</v>
      </c>
      <c r="H125" s="17" t="s">
        <v>712</v>
      </c>
      <c r="I125" s="17" t="s">
        <v>156</v>
      </c>
      <c r="J125" s="17">
        <v>1.5</v>
      </c>
      <c r="K125" s="19" t="s">
        <v>25</v>
      </c>
      <c r="L125" s="17"/>
      <c r="M125" s="17"/>
      <c r="N125" s="17" t="s">
        <v>771</v>
      </c>
      <c r="O125" s="17"/>
    </row>
    <row r="126" spans="1:15" ht="15" customHeight="1" x14ac:dyDescent="0.3">
      <c r="A126" s="17" t="s">
        <v>772</v>
      </c>
      <c r="B126" s="29" t="s">
        <v>739</v>
      </c>
      <c r="C126" s="19" t="s">
        <v>125</v>
      </c>
      <c r="D126" s="17" t="s">
        <v>773</v>
      </c>
      <c r="E126" s="17" t="s">
        <v>774</v>
      </c>
      <c r="F126" s="19" t="s">
        <v>775</v>
      </c>
      <c r="G126" s="30" t="s">
        <v>46</v>
      </c>
      <c r="H126" s="17" t="s">
        <v>776</v>
      </c>
      <c r="I126" s="17" t="s">
        <v>156</v>
      </c>
      <c r="J126" s="17">
        <v>1</v>
      </c>
      <c r="K126" s="19" t="s">
        <v>25</v>
      </c>
      <c r="L126" s="17"/>
      <c r="M126" s="17"/>
      <c r="N126" s="17" t="s">
        <v>777</v>
      </c>
      <c r="O126" s="17"/>
    </row>
    <row r="127" spans="1:15" ht="29.25" customHeight="1" x14ac:dyDescent="0.3">
      <c r="A127" s="17" t="s">
        <v>778</v>
      </c>
      <c r="B127" s="29" t="s">
        <v>739</v>
      </c>
      <c r="C127" s="19" t="s">
        <v>125</v>
      </c>
      <c r="D127" s="17" t="s">
        <v>768</v>
      </c>
      <c r="E127" s="19" t="s">
        <v>779</v>
      </c>
      <c r="F127" s="19" t="s">
        <v>780</v>
      </c>
      <c r="G127" s="30" t="s">
        <v>46</v>
      </c>
      <c r="H127" s="17" t="s">
        <v>712</v>
      </c>
      <c r="I127" s="17" t="s">
        <v>156</v>
      </c>
      <c r="J127" s="17">
        <v>1</v>
      </c>
      <c r="K127" s="19" t="s">
        <v>25</v>
      </c>
      <c r="L127" s="17"/>
      <c r="M127" s="17"/>
      <c r="N127" s="17" t="s">
        <v>781</v>
      </c>
      <c r="O127" s="17"/>
    </row>
    <row r="128" spans="1:15" ht="29.25" customHeight="1" x14ac:dyDescent="0.3">
      <c r="A128" s="17" t="s">
        <v>782</v>
      </c>
      <c r="B128" s="31" t="s">
        <v>783</v>
      </c>
      <c r="C128" s="19" t="s">
        <v>784</v>
      </c>
      <c r="D128" s="17" t="s">
        <v>785</v>
      </c>
      <c r="E128" s="17" t="s">
        <v>786</v>
      </c>
      <c r="F128" s="19" t="s">
        <v>787</v>
      </c>
      <c r="G128" s="23" t="s">
        <v>40</v>
      </c>
      <c r="H128" s="17" t="s">
        <v>788</v>
      </c>
      <c r="I128" s="17" t="s">
        <v>103</v>
      </c>
      <c r="J128" s="17">
        <v>90</v>
      </c>
      <c r="K128" s="19" t="s">
        <v>25</v>
      </c>
      <c r="L128" s="17"/>
      <c r="M128" s="17"/>
      <c r="N128" s="19" t="s">
        <v>789</v>
      </c>
      <c r="O128" s="17" t="s">
        <v>790</v>
      </c>
    </row>
    <row r="129" spans="1:15" ht="29.25" customHeight="1" x14ac:dyDescent="0.3">
      <c r="A129" s="17" t="s">
        <v>791</v>
      </c>
      <c r="B129" s="31" t="s">
        <v>783</v>
      </c>
      <c r="C129" s="19" t="s">
        <v>784</v>
      </c>
      <c r="D129" s="17" t="s">
        <v>785</v>
      </c>
      <c r="E129" s="17" t="s">
        <v>792</v>
      </c>
      <c r="F129" s="19" t="s">
        <v>793</v>
      </c>
      <c r="G129" s="23" t="s">
        <v>40</v>
      </c>
      <c r="H129" s="17" t="s">
        <v>794</v>
      </c>
      <c r="I129" s="17" t="s">
        <v>103</v>
      </c>
      <c r="J129" s="17">
        <v>20</v>
      </c>
      <c r="K129" s="19" t="s">
        <v>25</v>
      </c>
      <c r="L129" s="17"/>
      <c r="M129" s="17"/>
      <c r="N129" s="19" t="s">
        <v>795</v>
      </c>
      <c r="O129" s="19" t="s">
        <v>796</v>
      </c>
    </row>
    <row r="130" spans="1:15" ht="15" customHeight="1" x14ac:dyDescent="0.3">
      <c r="A130" s="17" t="s">
        <v>797</v>
      </c>
      <c r="B130" s="31" t="s">
        <v>783</v>
      </c>
      <c r="C130" s="19" t="s">
        <v>784</v>
      </c>
      <c r="D130" s="17" t="s">
        <v>785</v>
      </c>
      <c r="E130" s="17" t="s">
        <v>798</v>
      </c>
      <c r="F130" s="19" t="s">
        <v>799</v>
      </c>
      <c r="G130" s="20" t="s">
        <v>42</v>
      </c>
      <c r="H130" s="17" t="s">
        <v>791</v>
      </c>
      <c r="I130" s="17" t="s">
        <v>103</v>
      </c>
      <c r="J130" s="17">
        <v>20</v>
      </c>
      <c r="K130" s="19" t="s">
        <v>25</v>
      </c>
      <c r="L130" s="17"/>
      <c r="M130" s="17"/>
      <c r="N130" s="19" t="s">
        <v>795</v>
      </c>
      <c r="O130" s="17"/>
    </row>
    <row r="131" spans="1:15" ht="15.75" customHeight="1" x14ac:dyDescent="0.3">
      <c r="A131" s="17" t="s">
        <v>800</v>
      </c>
      <c r="B131" s="31" t="s">
        <v>783</v>
      </c>
      <c r="C131" s="19" t="s">
        <v>784</v>
      </c>
      <c r="D131" s="17" t="s">
        <v>785</v>
      </c>
      <c r="E131" s="17" t="s">
        <v>801</v>
      </c>
      <c r="F131" s="19" t="s">
        <v>802</v>
      </c>
      <c r="G131" s="20" t="s">
        <v>42</v>
      </c>
      <c r="H131" s="17" t="s">
        <v>797</v>
      </c>
      <c r="I131" s="17" t="s">
        <v>103</v>
      </c>
      <c r="J131" s="17">
        <v>40</v>
      </c>
      <c r="K131" s="19" t="s">
        <v>25</v>
      </c>
      <c r="L131" s="17"/>
      <c r="M131" s="17"/>
      <c r="N131" s="19" t="s">
        <v>795</v>
      </c>
      <c r="O131" s="17"/>
    </row>
    <row r="132" spans="1:15" ht="15.75" customHeight="1" x14ac:dyDescent="0.3">
      <c r="A132" s="17" t="s">
        <v>803</v>
      </c>
      <c r="B132" s="31" t="s">
        <v>783</v>
      </c>
      <c r="C132" s="19" t="s">
        <v>784</v>
      </c>
      <c r="D132" s="17" t="s">
        <v>785</v>
      </c>
      <c r="E132" s="17" t="s">
        <v>804</v>
      </c>
      <c r="F132" s="19" t="s">
        <v>805</v>
      </c>
      <c r="G132" s="20" t="s">
        <v>42</v>
      </c>
      <c r="H132" s="17" t="s">
        <v>806</v>
      </c>
      <c r="I132" s="19" t="s">
        <v>129</v>
      </c>
      <c r="J132" s="17">
        <v>30</v>
      </c>
      <c r="K132" s="19" t="s">
        <v>25</v>
      </c>
      <c r="L132" s="17"/>
      <c r="M132" s="17"/>
      <c r="N132" s="17" t="s">
        <v>807</v>
      </c>
      <c r="O132" s="17"/>
    </row>
    <row r="133" spans="1:15" ht="15.75" customHeight="1" x14ac:dyDescent="0.3">
      <c r="A133" s="17" t="s">
        <v>808</v>
      </c>
      <c r="B133" s="31" t="s">
        <v>783</v>
      </c>
      <c r="C133" s="19" t="s">
        <v>133</v>
      </c>
      <c r="D133" s="17" t="s">
        <v>809</v>
      </c>
      <c r="E133" s="17" t="s">
        <v>810</v>
      </c>
      <c r="F133" s="19" t="s">
        <v>811</v>
      </c>
      <c r="G133" s="20" t="s">
        <v>42</v>
      </c>
      <c r="H133" s="17" t="s">
        <v>173</v>
      </c>
      <c r="I133" s="17" t="s">
        <v>156</v>
      </c>
      <c r="J133" s="17">
        <v>3</v>
      </c>
      <c r="K133" s="19" t="s">
        <v>25</v>
      </c>
      <c r="L133" s="17"/>
      <c r="M133" s="17"/>
      <c r="N133" s="17" t="s">
        <v>812</v>
      </c>
      <c r="O133" s="17"/>
    </row>
    <row r="134" spans="1:15" ht="15.75" customHeight="1" x14ac:dyDescent="0.3">
      <c r="A134" s="17" t="s">
        <v>813</v>
      </c>
      <c r="B134" s="31" t="s">
        <v>783</v>
      </c>
      <c r="C134" s="19" t="s">
        <v>814</v>
      </c>
      <c r="D134" s="17" t="s">
        <v>100</v>
      </c>
      <c r="E134" s="19" t="s">
        <v>815</v>
      </c>
      <c r="F134" s="17" t="s">
        <v>816</v>
      </c>
      <c r="G134" s="20" t="s">
        <v>42</v>
      </c>
      <c r="H134" s="17" t="s">
        <v>159</v>
      </c>
      <c r="I134" s="17" t="s">
        <v>156</v>
      </c>
      <c r="J134" s="17">
        <v>2</v>
      </c>
      <c r="K134" s="19" t="s">
        <v>25</v>
      </c>
      <c r="L134" s="17"/>
      <c r="M134" s="17"/>
      <c r="N134" s="17" t="s">
        <v>817</v>
      </c>
      <c r="O134" s="17"/>
    </row>
    <row r="135" spans="1:15" ht="15.75" customHeight="1" x14ac:dyDescent="0.3">
      <c r="A135" s="17" t="s">
        <v>818</v>
      </c>
      <c r="B135" s="31" t="s">
        <v>783</v>
      </c>
      <c r="C135" s="19" t="s">
        <v>819</v>
      </c>
      <c r="D135" s="17" t="s">
        <v>820</v>
      </c>
      <c r="E135" s="19" t="s">
        <v>821</v>
      </c>
      <c r="F135" s="19" t="s">
        <v>822</v>
      </c>
      <c r="G135" s="21" t="s">
        <v>44</v>
      </c>
      <c r="H135" s="17" t="s">
        <v>722</v>
      </c>
      <c r="I135" s="17" t="s">
        <v>156</v>
      </c>
      <c r="J135" s="17">
        <v>1</v>
      </c>
      <c r="K135" s="19" t="s">
        <v>25</v>
      </c>
      <c r="L135" s="17"/>
      <c r="M135" s="17"/>
      <c r="N135" s="17" t="s">
        <v>823</v>
      </c>
      <c r="O135" s="17"/>
    </row>
    <row r="136" spans="1:15" ht="15.75" customHeight="1" x14ac:dyDescent="0.3">
      <c r="A136" s="17" t="s">
        <v>824</v>
      </c>
      <c r="B136" s="31" t="s">
        <v>783</v>
      </c>
      <c r="C136" s="19" t="s">
        <v>133</v>
      </c>
      <c r="D136" s="17" t="s">
        <v>785</v>
      </c>
      <c r="E136" s="17" t="s">
        <v>825</v>
      </c>
      <c r="F136" s="17" t="s">
        <v>826</v>
      </c>
      <c r="G136" s="21" t="s">
        <v>44</v>
      </c>
      <c r="H136" s="17" t="s">
        <v>808</v>
      </c>
      <c r="I136" s="17" t="s">
        <v>103</v>
      </c>
      <c r="J136" s="17">
        <v>0.5</v>
      </c>
      <c r="K136" s="19" t="s">
        <v>25</v>
      </c>
      <c r="L136" s="17"/>
      <c r="M136" s="17"/>
      <c r="N136" s="17" t="s">
        <v>827</v>
      </c>
      <c r="O136" s="17"/>
    </row>
    <row r="137" spans="1:15" ht="15.75" customHeight="1" x14ac:dyDescent="0.3">
      <c r="A137" s="17" t="s">
        <v>828</v>
      </c>
      <c r="B137" s="31" t="s">
        <v>783</v>
      </c>
      <c r="C137" s="19" t="s">
        <v>829</v>
      </c>
      <c r="D137" s="17" t="s">
        <v>100</v>
      </c>
      <c r="E137" s="17" t="s">
        <v>830</v>
      </c>
      <c r="F137" s="17" t="s">
        <v>831</v>
      </c>
      <c r="G137" s="21" t="s">
        <v>44</v>
      </c>
      <c r="H137" s="17" t="s">
        <v>182</v>
      </c>
      <c r="I137" s="17" t="s">
        <v>156</v>
      </c>
      <c r="J137" s="17">
        <v>1</v>
      </c>
      <c r="K137" s="19" t="s">
        <v>25</v>
      </c>
      <c r="L137" s="17"/>
      <c r="M137" s="17"/>
      <c r="N137" s="17" t="s">
        <v>832</v>
      </c>
      <c r="O137" s="17"/>
    </row>
    <row r="138" spans="1:15" ht="15.75" customHeight="1" x14ac:dyDescent="0.3">
      <c r="A138" s="8" t="s">
        <v>833</v>
      </c>
      <c r="B138" s="8" t="s">
        <v>211</v>
      </c>
      <c r="C138" s="9" t="s">
        <v>218</v>
      </c>
      <c r="D138" s="8" t="s">
        <v>834</v>
      </c>
      <c r="E138" s="8" t="s">
        <v>835</v>
      </c>
      <c r="F138" s="8" t="s">
        <v>836</v>
      </c>
      <c r="G138" s="9" t="s">
        <v>42</v>
      </c>
      <c r="H138" s="8" t="s">
        <v>837</v>
      </c>
      <c r="I138" s="8" t="s">
        <v>156</v>
      </c>
      <c r="J138" s="8">
        <v>1.5</v>
      </c>
      <c r="K138" s="9" t="s">
        <v>25</v>
      </c>
      <c r="L138" s="8"/>
      <c r="M138" s="8"/>
      <c r="N138" s="8" t="s">
        <v>838</v>
      </c>
      <c r="O138" s="8" t="s">
        <v>839</v>
      </c>
    </row>
    <row r="139" spans="1:15" ht="15.75" customHeight="1" x14ac:dyDescent="0.3">
      <c r="A139" s="8" t="s">
        <v>840</v>
      </c>
      <c r="B139" s="8" t="s">
        <v>211</v>
      </c>
      <c r="C139" s="9" t="s">
        <v>300</v>
      </c>
      <c r="D139" s="8" t="s">
        <v>294</v>
      </c>
      <c r="E139" s="8" t="s">
        <v>841</v>
      </c>
      <c r="F139" s="8" t="s">
        <v>842</v>
      </c>
      <c r="G139" s="9" t="s">
        <v>42</v>
      </c>
      <c r="H139" s="8" t="s">
        <v>843</v>
      </c>
      <c r="I139" s="8" t="s">
        <v>156</v>
      </c>
      <c r="J139" s="8">
        <v>2</v>
      </c>
      <c r="K139" s="9" t="s">
        <v>25</v>
      </c>
      <c r="L139" s="8"/>
      <c r="M139" s="8"/>
      <c r="N139" s="8" t="s">
        <v>844</v>
      </c>
      <c r="O139" s="8" t="s">
        <v>845</v>
      </c>
    </row>
    <row r="140" spans="1:15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autoFilter ref="A1:O137" xr:uid="{00000000-0009-0000-0000-000001000000}"/>
  <phoneticPr fontId="14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22" customWidth="1"/>
    <col min="2" max="2" width="14" customWidth="1"/>
    <col min="3" max="3" width="12" customWidth="1"/>
    <col min="4" max="4" width="18" customWidth="1"/>
    <col min="5" max="6" width="12" customWidth="1"/>
    <col min="7" max="26" width="8.6640625" customWidth="1"/>
  </cols>
  <sheetData>
    <row r="1" spans="1:6" ht="21" customHeight="1" x14ac:dyDescent="0.3">
      <c r="A1" s="59" t="s">
        <v>846</v>
      </c>
      <c r="B1" s="60"/>
      <c r="C1" s="60"/>
      <c r="D1" s="60"/>
      <c r="E1" s="60"/>
      <c r="F1" s="60"/>
    </row>
    <row r="2" spans="1:6" ht="14.4" x14ac:dyDescent="0.3">
      <c r="A2" s="4"/>
      <c r="B2" s="4"/>
      <c r="C2" s="4"/>
      <c r="D2" s="4"/>
      <c r="E2" s="4"/>
      <c r="F2" s="4"/>
    </row>
    <row r="3" spans="1:6" ht="16.5" customHeight="1" x14ac:dyDescent="0.3">
      <c r="A3" s="32" t="s">
        <v>83</v>
      </c>
      <c r="B3" s="32" t="s">
        <v>847</v>
      </c>
      <c r="C3" s="32" t="s">
        <v>35</v>
      </c>
      <c r="D3" s="32" t="s">
        <v>848</v>
      </c>
      <c r="E3" s="32" t="s">
        <v>25</v>
      </c>
      <c r="F3" s="32" t="s">
        <v>849</v>
      </c>
    </row>
    <row r="4" spans="1:6" ht="15" customHeight="1" x14ac:dyDescent="0.3">
      <c r="A4" s="33" t="s">
        <v>98</v>
      </c>
      <c r="B4" s="34">
        <f>COUNTIF(TODO_Master!B2:B126,A4)</f>
        <v>19</v>
      </c>
      <c r="C4" s="34">
        <f>COUNTIFS(TODO_Master!B2:B126,A4,TODO_Master!K2:K126,"完了")</f>
        <v>19</v>
      </c>
      <c r="D4" s="34">
        <f>COUNTIFS(TODO_Master!B2:B126,A4,TODO_Master!K2:K126,"実装中")+COUNTIFS(TODO_Master!B2:B126,A4,TODO_Master!K2:K126,"検証中")+COUNTIFS(TODO_Master!B2:B126,A4,TODO_Master!K2:K126,"設計中")</f>
        <v>0</v>
      </c>
      <c r="E4" s="34">
        <f>COUNTIFS(TODO_Master!B2:B126,A4,TODO_Master!K2:K126,"未着手")</f>
        <v>0</v>
      </c>
      <c r="F4" s="35">
        <f t="shared" ref="F4:F14" si="0">IFERROR(C4/B4,0)</f>
        <v>1</v>
      </c>
    </row>
    <row r="5" spans="1:6" ht="15" customHeight="1" x14ac:dyDescent="0.3">
      <c r="A5" s="36" t="s">
        <v>211</v>
      </c>
      <c r="B5" s="34">
        <f>COUNTIF(TODO_Master!B2:B126,A5)</f>
        <v>26</v>
      </c>
      <c r="C5" s="34">
        <f>COUNTIFS(TODO_Master!B2:B126,A5,TODO_Master!K2:K126,"完了")</f>
        <v>18</v>
      </c>
      <c r="D5" s="34">
        <f>COUNTIFS(TODO_Master!B2:B126,A5,TODO_Master!K2:K126,"実装中")+COUNTIFS(TODO_Master!B2:B126,A5,TODO_Master!K2:K126,"検証中")+COUNTIFS(TODO_Master!B2:B126,A5,TODO_Master!K2:K126,"設計中")</f>
        <v>0</v>
      </c>
      <c r="E5" s="34">
        <f>COUNTIFS(TODO_Master!B2:B126,A5,TODO_Master!K2:K126,"未着手")</f>
        <v>8</v>
      </c>
      <c r="F5" s="35">
        <f t="shared" si="0"/>
        <v>0.69230769230769229</v>
      </c>
    </row>
    <row r="6" spans="1:6" ht="15" customHeight="1" x14ac:dyDescent="0.3">
      <c r="A6" s="37" t="s">
        <v>351</v>
      </c>
      <c r="B6" s="34">
        <f>COUNTIF(TODO_Master!B2:B126,A6)</f>
        <v>8</v>
      </c>
      <c r="C6" s="34">
        <f>COUNTIFS(TODO_Master!B2:B126,A6,TODO_Master!K2:K126,"完了")</f>
        <v>0</v>
      </c>
      <c r="D6" s="34">
        <f>COUNTIFS(TODO_Master!B2:B126,A6,TODO_Master!K2:K126,"実装中")+COUNTIFS(TODO_Master!B2:B126,A6,TODO_Master!K2:K126,"検証中")+COUNTIFS(TODO_Master!B2:B126,A6,TODO_Master!K2:K126,"設計中")</f>
        <v>0</v>
      </c>
      <c r="E6" s="34">
        <f>COUNTIFS(TODO_Master!B2:B126,A6,TODO_Master!K2:K126,"未着手")</f>
        <v>8</v>
      </c>
      <c r="F6" s="35">
        <f t="shared" si="0"/>
        <v>0</v>
      </c>
    </row>
    <row r="7" spans="1:6" ht="15" customHeight="1" x14ac:dyDescent="0.3">
      <c r="A7" s="38" t="s">
        <v>392</v>
      </c>
      <c r="B7" s="34">
        <f>COUNTIF(TODO_Master!B2:B126,A7)</f>
        <v>4</v>
      </c>
      <c r="C7" s="34">
        <f>COUNTIFS(TODO_Master!B2:B126,A7,TODO_Master!K2:K126,"完了")</f>
        <v>0</v>
      </c>
      <c r="D7" s="34">
        <f>COUNTIFS(TODO_Master!B2:B126,A7,TODO_Master!K2:K126,"実装中")+COUNTIFS(TODO_Master!B2:B126,A7,TODO_Master!K2:K126,"検証中")+COUNTIFS(TODO_Master!B2:B126,A7,TODO_Master!K2:K126,"設計中")</f>
        <v>0</v>
      </c>
      <c r="E7" s="34">
        <f>COUNTIFS(TODO_Master!B2:B126,A7,TODO_Master!K2:K126,"未着手")</f>
        <v>4</v>
      </c>
      <c r="F7" s="35">
        <f t="shared" si="0"/>
        <v>0</v>
      </c>
    </row>
    <row r="8" spans="1:6" ht="15" customHeight="1" x14ac:dyDescent="0.3">
      <c r="A8" s="39" t="s">
        <v>418</v>
      </c>
      <c r="B8" s="34">
        <f>COUNTIF(TODO_Master!B2:B126,A8)</f>
        <v>35</v>
      </c>
      <c r="C8" s="34">
        <f>COUNTIFS(TODO_Master!B2:B126,A8,TODO_Master!K2:K126,"完了")</f>
        <v>0</v>
      </c>
      <c r="D8" s="34">
        <f>COUNTIFS(TODO_Master!B2:B126,A8,TODO_Master!K2:K126,"実装中")+COUNTIFS(TODO_Master!B2:B126,A8,TODO_Master!K2:K126,"検証中")+COUNTIFS(TODO_Master!B2:B126,A8,TODO_Master!K2:K126,"設計中")</f>
        <v>0</v>
      </c>
      <c r="E8" s="34">
        <f>COUNTIFS(TODO_Master!B2:B126,A8,TODO_Master!K2:K126,"未着手")</f>
        <v>35</v>
      </c>
      <c r="F8" s="35">
        <f t="shared" si="0"/>
        <v>0</v>
      </c>
    </row>
    <row r="9" spans="1:6" ht="15" customHeight="1" x14ac:dyDescent="0.3">
      <c r="A9" s="40" t="s">
        <v>607</v>
      </c>
      <c r="B9" s="34">
        <f>COUNTIF(TODO_Master!B2:B126,A9)</f>
        <v>12</v>
      </c>
      <c r="C9" s="34">
        <f>COUNTIFS(TODO_Master!B2:B126,A9,TODO_Master!K2:K126,"完了")</f>
        <v>0</v>
      </c>
      <c r="D9" s="34">
        <f>COUNTIFS(TODO_Master!B2:B126,A9,TODO_Master!K2:K126,"実装中")+COUNTIFS(TODO_Master!B2:B126,A9,TODO_Master!K2:K126,"検証中")+COUNTIFS(TODO_Master!B2:B126,A9,TODO_Master!K2:K126,"設計中")</f>
        <v>0</v>
      </c>
      <c r="E9" s="34">
        <f>COUNTIFS(TODO_Master!B2:B126,A9,TODO_Master!K2:K126,"未着手")</f>
        <v>12</v>
      </c>
      <c r="F9" s="35">
        <f t="shared" si="0"/>
        <v>0</v>
      </c>
    </row>
    <row r="10" spans="1:6" ht="15" customHeight="1" x14ac:dyDescent="0.3">
      <c r="A10" s="41" t="s">
        <v>665</v>
      </c>
      <c r="B10" s="34">
        <f>COUNTIF(TODO_Master!B2:B126,A10)</f>
        <v>8</v>
      </c>
      <c r="C10" s="34">
        <f>COUNTIFS(TODO_Master!B2:B126,A10,TODO_Master!K2:K126,"完了")</f>
        <v>0</v>
      </c>
      <c r="D10" s="34">
        <f>COUNTIFS(TODO_Master!B2:B126,A10,TODO_Master!K2:K126,"実装中")+COUNTIFS(TODO_Master!B2:B126,A10,TODO_Master!K2:K126,"検証中")+COUNTIFS(TODO_Master!B2:B126,A10,TODO_Master!K2:K126,"設計中")</f>
        <v>0</v>
      </c>
      <c r="E10" s="34">
        <f>COUNTIFS(TODO_Master!B2:B126,A10,TODO_Master!K2:K126,"未着手")</f>
        <v>8</v>
      </c>
      <c r="F10" s="35">
        <f t="shared" si="0"/>
        <v>0</v>
      </c>
    </row>
    <row r="11" spans="1:6" ht="15" customHeight="1" x14ac:dyDescent="0.3">
      <c r="A11" s="42" t="s">
        <v>705</v>
      </c>
      <c r="B11" s="34">
        <f>COUNTIF(TODO_Master!B2:B126,A11)</f>
        <v>6</v>
      </c>
      <c r="C11" s="34">
        <f>COUNTIFS(TODO_Master!B2:B126,A11,TODO_Master!K2:K126,"完了")</f>
        <v>0</v>
      </c>
      <c r="D11" s="34">
        <f>COUNTIFS(TODO_Master!B2:B126,A11,TODO_Master!K2:K126,"実装中")+COUNTIFS(TODO_Master!B2:B126,A11,TODO_Master!K2:K126,"検証中")+COUNTIFS(TODO_Master!B2:B126,A11,TODO_Master!K2:K126,"設計中")</f>
        <v>0</v>
      </c>
      <c r="E11" s="34">
        <f>COUNTIFS(TODO_Master!B2:B126,A11,TODO_Master!K2:K126,"未着手")</f>
        <v>6</v>
      </c>
      <c r="F11" s="35">
        <f t="shared" si="0"/>
        <v>0</v>
      </c>
    </row>
    <row r="12" spans="1:6" ht="15" customHeight="1" x14ac:dyDescent="0.3">
      <c r="A12" s="43" t="s">
        <v>739</v>
      </c>
      <c r="B12" s="34">
        <f>COUNTIF(TODO_Master!B2:B126,A12)</f>
        <v>7</v>
      </c>
      <c r="C12" s="34">
        <f>COUNTIFS(TODO_Master!B2:B126,A12,TODO_Master!K2:K126,"完了")</f>
        <v>0</v>
      </c>
      <c r="D12" s="34">
        <f>COUNTIFS(TODO_Master!B2:B126,A12,TODO_Master!K2:K126,"実装中")+COUNTIFS(TODO_Master!B2:B126,A12,TODO_Master!K2:K126,"検証中")+COUNTIFS(TODO_Master!B2:B126,A12,TODO_Master!K2:K126,"設計中")</f>
        <v>0</v>
      </c>
      <c r="E12" s="34">
        <f>COUNTIFS(TODO_Master!B2:B126,A12,TODO_Master!K2:K126,"未着手")</f>
        <v>7</v>
      </c>
      <c r="F12" s="35">
        <f t="shared" si="0"/>
        <v>0</v>
      </c>
    </row>
    <row r="13" spans="1:6" ht="15" customHeight="1" x14ac:dyDescent="0.3">
      <c r="A13" s="44" t="s">
        <v>783</v>
      </c>
      <c r="B13" s="34">
        <f>COUNTIF(TODO_Master!B2:B126,A13)</f>
        <v>0</v>
      </c>
      <c r="C13" s="34">
        <f>COUNTIFS(TODO_Master!B2:B126,A13,TODO_Master!K2:K126,"完了")</f>
        <v>0</v>
      </c>
      <c r="D13" s="34">
        <f>COUNTIFS(TODO_Master!B2:B126,A13,TODO_Master!K2:K126,"実装中")+COUNTIFS(TODO_Master!B2:B126,A13,TODO_Master!K2:K126,"検証中")+COUNTIFS(TODO_Master!B2:B126,A13,TODO_Master!K2:K126,"設計中")</f>
        <v>0</v>
      </c>
      <c r="E13" s="34">
        <f>COUNTIFS(TODO_Master!B2:B126,A13,TODO_Master!K2:K126,"未着手")</f>
        <v>0</v>
      </c>
      <c r="F13" s="35">
        <f t="shared" si="0"/>
        <v>0</v>
      </c>
    </row>
    <row r="14" spans="1:6" ht="15" customHeight="1" x14ac:dyDescent="0.35">
      <c r="A14" s="45" t="s">
        <v>850</v>
      </c>
      <c r="B14" s="46">
        <f>SUM(B4:B13)</f>
        <v>125</v>
      </c>
      <c r="C14" s="46">
        <f>SUM(C4:C13)</f>
        <v>37</v>
      </c>
      <c r="D14" s="46">
        <f>SUM(D4:D13)</f>
        <v>0</v>
      </c>
      <c r="E14" s="46">
        <f>SUM(E4:E13)</f>
        <v>88</v>
      </c>
      <c r="F14" s="47">
        <f t="shared" si="0"/>
        <v>0.29599999999999999</v>
      </c>
    </row>
    <row r="15" spans="1:6" ht="15" customHeight="1" x14ac:dyDescent="0.3">
      <c r="A15" s="4"/>
      <c r="B15" s="4"/>
      <c r="C15" s="4"/>
      <c r="D15" s="4"/>
      <c r="E15" s="4"/>
      <c r="F15" s="4"/>
    </row>
    <row r="16" spans="1:6" ht="14.4" x14ac:dyDescent="0.3">
      <c r="A16" s="4"/>
      <c r="B16" s="4"/>
      <c r="C16" s="4"/>
      <c r="D16" s="4"/>
      <c r="E16" s="4"/>
      <c r="F16" s="4"/>
    </row>
    <row r="17" spans="1:6" ht="15" customHeight="1" x14ac:dyDescent="0.4">
      <c r="A17" s="61" t="s">
        <v>851</v>
      </c>
      <c r="B17" s="60"/>
      <c r="C17" s="60"/>
      <c r="D17" s="60"/>
      <c r="E17" s="60"/>
      <c r="F17" s="60"/>
    </row>
    <row r="18" spans="1:6" ht="16.5" customHeight="1" x14ac:dyDescent="0.3">
      <c r="A18" s="32" t="s">
        <v>88</v>
      </c>
      <c r="B18" s="32" t="s">
        <v>847</v>
      </c>
      <c r="C18" s="32" t="s">
        <v>35</v>
      </c>
      <c r="D18" s="32" t="s">
        <v>848</v>
      </c>
      <c r="E18" s="32" t="s">
        <v>25</v>
      </c>
      <c r="F18" s="32" t="s">
        <v>849</v>
      </c>
    </row>
    <row r="19" spans="1:6" ht="15" customHeight="1" x14ac:dyDescent="0.35">
      <c r="A19" s="48" t="s">
        <v>40</v>
      </c>
      <c r="B19" s="34">
        <f>COUNTIF(TODO_Master!G2:G126,A19)</f>
        <v>52</v>
      </c>
      <c r="C19" s="34">
        <f>COUNTIFS(TODO_Master!G2:G126,A19,TODO_Master!K2:K126,"完了")</f>
        <v>24</v>
      </c>
      <c r="D19" s="34">
        <f>COUNTIFS(TODO_Master!G2:G126,A19,TODO_Master!K2:K126,"実装中")+COUNTIFS(TODO_Master!G2:G126,A19,TODO_Master!K2:K126,"検証中")+COUNTIFS(TODO_Master!G2:G126,A19,TODO_Master!K2:K126,"設計中")</f>
        <v>0</v>
      </c>
      <c r="E19" s="34">
        <f>COUNTIFS(TODO_Master!G2:G126,A19,TODO_Master!K2:K126,"未着手")</f>
        <v>28</v>
      </c>
      <c r="F19" s="35">
        <f>IFERROR(C19/B19,0)</f>
        <v>0.46153846153846156</v>
      </c>
    </row>
    <row r="20" spans="1:6" ht="15" customHeight="1" x14ac:dyDescent="0.35">
      <c r="A20" s="49" t="s">
        <v>42</v>
      </c>
      <c r="B20" s="34">
        <f>COUNTIF(TODO_Master!G2:G126,A20)</f>
        <v>55</v>
      </c>
      <c r="C20" s="34">
        <f>COUNTIFS(TODO_Master!G2:G126,A20,TODO_Master!K2:K126,"完了")</f>
        <v>13</v>
      </c>
      <c r="D20" s="34">
        <f>COUNTIFS(TODO_Master!G2:G126,A20,TODO_Master!K2:K126,"実装中")+COUNTIFS(TODO_Master!G2:G126,A20,TODO_Master!K2:K126,"検証中")+COUNTIFS(TODO_Master!G2:G126,A20,TODO_Master!K2:K126,"設計中")</f>
        <v>0</v>
      </c>
      <c r="E20" s="34">
        <f>COUNTIFS(TODO_Master!G2:G126,A20,TODO_Master!K2:K126,"未着手")</f>
        <v>42</v>
      </c>
      <c r="F20" s="35">
        <f>IFERROR(C20/B20,0)</f>
        <v>0.23636363636363636</v>
      </c>
    </row>
    <row r="21" spans="1:6" ht="15" customHeight="1" x14ac:dyDescent="0.35">
      <c r="A21" s="50" t="s">
        <v>44</v>
      </c>
      <c r="B21" s="34">
        <f>COUNTIF(TODO_Master!G2:G126,A21)</f>
        <v>11</v>
      </c>
      <c r="C21" s="34">
        <f>COUNTIFS(TODO_Master!G2:G126,A21,TODO_Master!K2:K126,"完了")</f>
        <v>0</v>
      </c>
      <c r="D21" s="34">
        <f>COUNTIFS(TODO_Master!G2:G126,A21,TODO_Master!K2:K126,"実装中")+COUNTIFS(TODO_Master!G2:G126,A21,TODO_Master!K2:K126,"検証中")+COUNTIFS(TODO_Master!G2:G126,A21,TODO_Master!K2:K126,"設計中")</f>
        <v>0</v>
      </c>
      <c r="E21" s="34">
        <f>COUNTIFS(TODO_Master!G2:G126,A21,TODO_Master!K2:K126,"未着手")</f>
        <v>11</v>
      </c>
      <c r="F21" s="35">
        <f>IFERROR(C21/B21,0)</f>
        <v>0</v>
      </c>
    </row>
    <row r="22" spans="1:6" ht="15" customHeight="1" x14ac:dyDescent="0.35">
      <c r="A22" s="51" t="s">
        <v>46</v>
      </c>
      <c r="B22" s="34">
        <f>COUNTIF(TODO_Master!G2:G126,A22)</f>
        <v>7</v>
      </c>
      <c r="C22" s="34">
        <f>COUNTIFS(TODO_Master!G2:G126,A22,TODO_Master!K2:K126,"完了")</f>
        <v>0</v>
      </c>
      <c r="D22" s="34">
        <f>COUNTIFS(TODO_Master!G2:G126,A22,TODO_Master!K2:K126,"実装中")+COUNTIFS(TODO_Master!G2:G126,A22,TODO_Master!K2:K126,"検証中")+COUNTIFS(TODO_Master!G2:G126,A22,TODO_Master!K2:K126,"設計中")</f>
        <v>0</v>
      </c>
      <c r="E22" s="34">
        <f>COUNTIFS(TODO_Master!G2:G126,A22,TODO_Master!K2:K126,"未着手")</f>
        <v>7</v>
      </c>
      <c r="F22" s="35">
        <f>IFERROR(C22/B22,0)</f>
        <v>0</v>
      </c>
    </row>
    <row r="23" spans="1:6" ht="15" customHeight="1" x14ac:dyDescent="0.3">
      <c r="A23" s="4"/>
      <c r="B23" s="4"/>
      <c r="C23" s="4"/>
      <c r="D23" s="4"/>
      <c r="E23" s="4"/>
      <c r="F23" s="4"/>
    </row>
    <row r="24" spans="1:6" ht="15.75" customHeight="1" x14ac:dyDescent="0.3">
      <c r="A24" s="4"/>
      <c r="B24" s="4"/>
      <c r="C24" s="4"/>
      <c r="D24" s="4"/>
      <c r="E24" s="4"/>
      <c r="F24" s="4"/>
    </row>
    <row r="25" spans="1:6" ht="15.75" customHeight="1" x14ac:dyDescent="0.3">
      <c r="A25" s="4"/>
      <c r="B25" s="4"/>
      <c r="C25" s="4"/>
      <c r="D25" s="4"/>
      <c r="E25" s="4"/>
      <c r="F25" s="4"/>
    </row>
    <row r="26" spans="1:6" ht="15.75" customHeight="1" x14ac:dyDescent="0.3">
      <c r="A26" s="4"/>
      <c r="B26" s="4"/>
      <c r="C26" s="4"/>
      <c r="D26" s="4"/>
      <c r="E26" s="4"/>
      <c r="F26" s="4"/>
    </row>
    <row r="27" spans="1:6" ht="15.75" customHeight="1" x14ac:dyDescent="0.3">
      <c r="A27" s="4"/>
      <c r="B27" s="4"/>
      <c r="C27" s="4"/>
      <c r="D27" s="4"/>
      <c r="E27" s="4"/>
      <c r="F27" s="4"/>
    </row>
    <row r="28" spans="1:6" ht="15.75" customHeight="1" x14ac:dyDescent="0.3">
      <c r="A28" s="4"/>
      <c r="B28" s="4"/>
      <c r="C28" s="4"/>
      <c r="D28" s="4"/>
      <c r="E28" s="4"/>
      <c r="F28" s="4"/>
    </row>
    <row r="29" spans="1:6" ht="15.75" customHeight="1" x14ac:dyDescent="0.3">
      <c r="A29" s="4"/>
      <c r="B29" s="4"/>
      <c r="C29" s="4"/>
      <c r="D29" s="4"/>
      <c r="E29" s="4"/>
      <c r="F29" s="4"/>
    </row>
    <row r="30" spans="1:6" ht="15.75" customHeight="1" x14ac:dyDescent="0.3">
      <c r="A30" s="4"/>
      <c r="B30" s="4"/>
      <c r="C30" s="4"/>
      <c r="D30" s="4"/>
      <c r="E30" s="4"/>
      <c r="F30" s="4"/>
    </row>
    <row r="31" spans="1:6" ht="15.75" customHeight="1" x14ac:dyDescent="0.3">
      <c r="A31" s="4"/>
      <c r="B31" s="4"/>
      <c r="C31" s="4"/>
      <c r="D31" s="4"/>
      <c r="E31" s="4"/>
      <c r="F31" s="4"/>
    </row>
    <row r="32" spans="1:6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  <row r="978" spans="1:6" ht="15.75" customHeight="1" x14ac:dyDescent="0.3">
      <c r="A978" s="4"/>
      <c r="B978" s="4"/>
      <c r="C978" s="4"/>
      <c r="D978" s="4"/>
      <c r="E978" s="4"/>
      <c r="F978" s="4"/>
    </row>
    <row r="979" spans="1:6" ht="15.75" customHeight="1" x14ac:dyDescent="0.3">
      <c r="A979" s="4"/>
      <c r="B979" s="4"/>
      <c r="C979" s="4"/>
      <c r="D979" s="4"/>
      <c r="E979" s="4"/>
      <c r="F979" s="4"/>
    </row>
    <row r="980" spans="1:6" ht="15.75" customHeight="1" x14ac:dyDescent="0.3">
      <c r="A980" s="4"/>
      <c r="B980" s="4"/>
      <c r="C980" s="4"/>
      <c r="D980" s="4"/>
      <c r="E980" s="4"/>
      <c r="F980" s="4"/>
    </row>
    <row r="981" spans="1:6" ht="15.75" customHeight="1" x14ac:dyDescent="0.3">
      <c r="A981" s="4"/>
      <c r="B981" s="4"/>
      <c r="C981" s="4"/>
      <c r="D981" s="4"/>
      <c r="E981" s="4"/>
      <c r="F981" s="4"/>
    </row>
    <row r="982" spans="1:6" ht="15.75" customHeight="1" x14ac:dyDescent="0.3">
      <c r="A982" s="4"/>
      <c r="B982" s="4"/>
      <c r="C982" s="4"/>
      <c r="D982" s="4"/>
      <c r="E982" s="4"/>
      <c r="F982" s="4"/>
    </row>
    <row r="983" spans="1:6" ht="15.75" customHeight="1" x14ac:dyDescent="0.3">
      <c r="A983" s="4"/>
      <c r="B983" s="4"/>
      <c r="C983" s="4"/>
      <c r="D983" s="4"/>
      <c r="E983" s="4"/>
      <c r="F983" s="4"/>
    </row>
    <row r="984" spans="1:6" ht="15.75" customHeight="1" x14ac:dyDescent="0.3">
      <c r="A984" s="4"/>
      <c r="B984" s="4"/>
      <c r="C984" s="4"/>
      <c r="D984" s="4"/>
      <c r="E984" s="4"/>
      <c r="F984" s="4"/>
    </row>
    <row r="985" spans="1:6" ht="15.75" customHeight="1" x14ac:dyDescent="0.3">
      <c r="A985" s="4"/>
      <c r="B985" s="4"/>
      <c r="C985" s="4"/>
      <c r="D985" s="4"/>
      <c r="E985" s="4"/>
      <c r="F985" s="4"/>
    </row>
    <row r="986" spans="1:6" ht="15.75" customHeight="1" x14ac:dyDescent="0.3">
      <c r="A986" s="4"/>
      <c r="B986" s="4"/>
      <c r="C986" s="4"/>
      <c r="D986" s="4"/>
      <c r="E986" s="4"/>
      <c r="F986" s="4"/>
    </row>
    <row r="987" spans="1:6" ht="15.75" customHeight="1" x14ac:dyDescent="0.3">
      <c r="A987" s="4"/>
      <c r="B987" s="4"/>
      <c r="C987" s="4"/>
      <c r="D987" s="4"/>
      <c r="E987" s="4"/>
      <c r="F987" s="4"/>
    </row>
    <row r="988" spans="1:6" ht="15.75" customHeight="1" x14ac:dyDescent="0.3">
      <c r="A988" s="4"/>
      <c r="B988" s="4"/>
      <c r="C988" s="4"/>
      <c r="D988" s="4"/>
      <c r="E988" s="4"/>
      <c r="F988" s="4"/>
    </row>
    <row r="989" spans="1:6" ht="15.75" customHeight="1" x14ac:dyDescent="0.3">
      <c r="A989" s="4"/>
      <c r="B989" s="4"/>
      <c r="C989" s="4"/>
      <c r="D989" s="4"/>
      <c r="E989" s="4"/>
      <c r="F989" s="4"/>
    </row>
    <row r="990" spans="1:6" ht="15.75" customHeight="1" x14ac:dyDescent="0.3">
      <c r="A990" s="4"/>
      <c r="B990" s="4"/>
      <c r="C990" s="4"/>
      <c r="D990" s="4"/>
      <c r="E990" s="4"/>
      <c r="F990" s="4"/>
    </row>
    <row r="991" spans="1:6" ht="15.75" customHeight="1" x14ac:dyDescent="0.3">
      <c r="A991" s="4"/>
      <c r="B991" s="4"/>
      <c r="C991" s="4"/>
      <c r="D991" s="4"/>
      <c r="E991" s="4"/>
      <c r="F991" s="4"/>
    </row>
    <row r="992" spans="1:6" ht="15.75" customHeight="1" x14ac:dyDescent="0.3">
      <c r="A992" s="4"/>
      <c r="B992" s="4"/>
      <c r="C992" s="4"/>
      <c r="D992" s="4"/>
      <c r="E992" s="4"/>
      <c r="F992" s="4"/>
    </row>
    <row r="993" spans="1:6" ht="15.75" customHeight="1" x14ac:dyDescent="0.3">
      <c r="A993" s="4"/>
      <c r="B993" s="4"/>
      <c r="C993" s="4"/>
      <c r="D993" s="4"/>
      <c r="E993" s="4"/>
      <c r="F993" s="4"/>
    </row>
    <row r="994" spans="1:6" ht="15.75" customHeight="1" x14ac:dyDescent="0.3">
      <c r="A994" s="4"/>
      <c r="B994" s="4"/>
      <c r="C994" s="4"/>
      <c r="D994" s="4"/>
      <c r="E994" s="4"/>
      <c r="F994" s="4"/>
    </row>
    <row r="995" spans="1:6" ht="15.75" customHeight="1" x14ac:dyDescent="0.3">
      <c r="A995" s="4"/>
      <c r="B995" s="4"/>
      <c r="C995" s="4"/>
      <c r="D995" s="4"/>
      <c r="E995" s="4"/>
      <c r="F995" s="4"/>
    </row>
    <row r="996" spans="1:6" ht="15.75" customHeight="1" x14ac:dyDescent="0.3">
      <c r="A996" s="4"/>
      <c r="B996" s="4"/>
      <c r="C996" s="4"/>
      <c r="D996" s="4"/>
      <c r="E996" s="4"/>
      <c r="F996" s="4"/>
    </row>
    <row r="997" spans="1:6" ht="15.75" customHeight="1" x14ac:dyDescent="0.3">
      <c r="A997" s="4"/>
      <c r="B997" s="4"/>
      <c r="C997" s="4"/>
      <c r="D997" s="4"/>
      <c r="E997" s="4"/>
      <c r="F997" s="4"/>
    </row>
    <row r="998" spans="1:6" ht="15.75" customHeight="1" x14ac:dyDescent="0.3">
      <c r="A998" s="4"/>
      <c r="B998" s="4"/>
      <c r="C998" s="4"/>
      <c r="D998" s="4"/>
      <c r="E998" s="4"/>
      <c r="F998" s="4"/>
    </row>
    <row r="999" spans="1:6" ht="15.75" customHeight="1" x14ac:dyDescent="0.3">
      <c r="A999" s="4"/>
      <c r="B999" s="4"/>
      <c r="C999" s="4"/>
      <c r="D999" s="4"/>
      <c r="E999" s="4"/>
      <c r="F999" s="4"/>
    </row>
    <row r="1000" spans="1:6" ht="15.75" customHeight="1" x14ac:dyDescent="0.3">
      <c r="A1000" s="4"/>
      <c r="B1000" s="4"/>
      <c r="C1000" s="4"/>
      <c r="D1000" s="4"/>
      <c r="E1000" s="4"/>
      <c r="F1000" s="4"/>
    </row>
  </sheetData>
  <mergeCells count="2">
    <mergeCell ref="A1:F1"/>
    <mergeCell ref="A17:F17"/>
  </mergeCells>
  <phoneticPr fontId="14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1" width="16" customWidth="1"/>
    <col min="2" max="2" width="26" customWidth="1"/>
    <col min="3" max="3" width="55" customWidth="1"/>
    <col min="4" max="4" width="18" customWidth="1"/>
    <col min="5" max="5" width="16" customWidth="1"/>
    <col min="6" max="6" width="18" customWidth="1"/>
    <col min="7" max="26" width="8.6640625" customWidth="1"/>
  </cols>
  <sheetData>
    <row r="1" spans="1:6" ht="21" customHeight="1" x14ac:dyDescent="0.5">
      <c r="A1" s="64" t="s">
        <v>852</v>
      </c>
      <c r="B1" s="60"/>
      <c r="C1" s="60"/>
      <c r="D1" s="60"/>
      <c r="E1" s="60"/>
      <c r="F1" s="60"/>
    </row>
    <row r="2" spans="1:6" ht="15" customHeight="1" x14ac:dyDescent="0.3">
      <c r="A2" s="62" t="s">
        <v>853</v>
      </c>
      <c r="B2" s="60"/>
      <c r="C2" s="60"/>
      <c r="D2" s="60"/>
      <c r="E2" s="60"/>
      <c r="F2" s="60"/>
    </row>
    <row r="3" spans="1:6" ht="14.4" x14ac:dyDescent="0.3">
      <c r="A3" s="4"/>
      <c r="B3" s="4"/>
      <c r="C3" s="4"/>
      <c r="D3" s="4"/>
      <c r="E3" s="4"/>
      <c r="F3" s="4"/>
    </row>
    <row r="4" spans="1:6" ht="18.75" customHeight="1" x14ac:dyDescent="0.4">
      <c r="A4" s="61" t="s">
        <v>854</v>
      </c>
      <c r="B4" s="60"/>
      <c r="C4" s="60"/>
      <c r="D4" s="60"/>
      <c r="E4" s="60"/>
      <c r="F4" s="60"/>
    </row>
    <row r="5" spans="1:6" ht="32.25" customHeight="1" x14ac:dyDescent="0.3">
      <c r="A5" s="6" t="s">
        <v>855</v>
      </c>
      <c r="B5" s="7" t="s">
        <v>856</v>
      </c>
      <c r="C5" s="7" t="s">
        <v>857</v>
      </c>
      <c r="D5" s="6" t="s">
        <v>858</v>
      </c>
      <c r="E5" s="7" t="s">
        <v>859</v>
      </c>
      <c r="F5" s="6" t="s">
        <v>860</v>
      </c>
    </row>
    <row r="6" spans="1:6" ht="43.5" customHeight="1" x14ac:dyDescent="0.3">
      <c r="A6" s="17" t="s">
        <v>861</v>
      </c>
      <c r="B6" s="19" t="s">
        <v>862</v>
      </c>
      <c r="C6" s="17" t="s">
        <v>863</v>
      </c>
      <c r="D6" s="19" t="s">
        <v>864</v>
      </c>
      <c r="E6" s="17" t="s">
        <v>865</v>
      </c>
      <c r="F6" s="52" t="s">
        <v>866</v>
      </c>
    </row>
    <row r="7" spans="1:6" ht="26.25" customHeight="1" x14ac:dyDescent="0.3">
      <c r="A7" s="17" t="s">
        <v>867</v>
      </c>
      <c r="B7" s="17" t="s">
        <v>868</v>
      </c>
      <c r="C7" s="17" t="s">
        <v>869</v>
      </c>
      <c r="D7" s="19" t="s">
        <v>864</v>
      </c>
      <c r="E7" s="17" t="s">
        <v>865</v>
      </c>
      <c r="F7" s="52" t="s">
        <v>866</v>
      </c>
    </row>
    <row r="8" spans="1:6" ht="29.25" customHeight="1" x14ac:dyDescent="0.3">
      <c r="A8" s="17" t="s">
        <v>870</v>
      </c>
      <c r="B8" s="17" t="s">
        <v>871</v>
      </c>
      <c r="C8" s="17" t="s">
        <v>872</v>
      </c>
      <c r="D8" s="19" t="s">
        <v>873</v>
      </c>
      <c r="E8" s="17" t="s">
        <v>865</v>
      </c>
      <c r="F8" s="52" t="s">
        <v>866</v>
      </c>
    </row>
    <row r="9" spans="1:6" ht="29.25" customHeight="1" x14ac:dyDescent="0.3">
      <c r="A9" s="17" t="s">
        <v>874</v>
      </c>
      <c r="B9" s="19" t="s">
        <v>875</v>
      </c>
      <c r="C9" s="17" t="s">
        <v>876</v>
      </c>
      <c r="D9" s="19" t="s">
        <v>877</v>
      </c>
      <c r="E9" s="17" t="s">
        <v>865</v>
      </c>
      <c r="F9" s="52" t="s">
        <v>866</v>
      </c>
    </row>
    <row r="10" spans="1:6" ht="29.25" customHeight="1" x14ac:dyDescent="0.3">
      <c r="A10" s="17" t="s">
        <v>878</v>
      </c>
      <c r="B10" s="19" t="s">
        <v>879</v>
      </c>
      <c r="C10" s="17" t="s">
        <v>880</v>
      </c>
      <c r="D10" s="19" t="s">
        <v>864</v>
      </c>
      <c r="E10" s="17" t="s">
        <v>865</v>
      </c>
      <c r="F10" s="52" t="s">
        <v>866</v>
      </c>
    </row>
    <row r="11" spans="1:6" ht="29.25" customHeight="1" x14ac:dyDescent="0.3">
      <c r="A11" s="17" t="s">
        <v>881</v>
      </c>
      <c r="B11" s="19" t="s">
        <v>882</v>
      </c>
      <c r="C11" s="17" t="s">
        <v>883</v>
      </c>
      <c r="D11" s="19" t="s">
        <v>884</v>
      </c>
      <c r="E11" s="17" t="s">
        <v>865</v>
      </c>
      <c r="F11" s="52" t="s">
        <v>866</v>
      </c>
    </row>
    <row r="12" spans="1:6" ht="29.25" customHeight="1" x14ac:dyDescent="0.3">
      <c r="A12" s="17" t="s">
        <v>885</v>
      </c>
      <c r="B12" s="17" t="s">
        <v>886</v>
      </c>
      <c r="C12" s="17" t="s">
        <v>887</v>
      </c>
      <c r="D12" s="17" t="s">
        <v>888</v>
      </c>
      <c r="E12" s="17" t="s">
        <v>865</v>
      </c>
      <c r="F12" s="52" t="s">
        <v>866</v>
      </c>
    </row>
    <row r="13" spans="1:6" ht="29.25" customHeight="1" x14ac:dyDescent="0.3">
      <c r="A13" s="17" t="s">
        <v>889</v>
      </c>
      <c r="B13" s="17" t="s">
        <v>890</v>
      </c>
      <c r="C13" s="17" t="s">
        <v>891</v>
      </c>
      <c r="D13" s="17" t="s">
        <v>892</v>
      </c>
      <c r="E13" s="17" t="s">
        <v>893</v>
      </c>
      <c r="F13" s="53" t="s">
        <v>894</v>
      </c>
    </row>
    <row r="14" spans="1:6" ht="14.4" x14ac:dyDescent="0.3">
      <c r="A14" s="4"/>
      <c r="B14" s="4"/>
      <c r="C14" s="4"/>
      <c r="D14" s="4"/>
      <c r="E14" s="4"/>
      <c r="F14" s="4"/>
    </row>
    <row r="15" spans="1:6" ht="14.4" x14ac:dyDescent="0.3">
      <c r="A15" s="4"/>
      <c r="B15" s="4"/>
      <c r="C15" s="4"/>
      <c r="D15" s="4"/>
      <c r="E15" s="4"/>
      <c r="F15" s="4"/>
    </row>
    <row r="16" spans="1:6" ht="18.75" customHeight="1" x14ac:dyDescent="0.4">
      <c r="A16" s="61" t="s">
        <v>895</v>
      </c>
      <c r="B16" s="60"/>
      <c r="C16" s="60"/>
      <c r="D16" s="60"/>
      <c r="E16" s="60"/>
      <c r="F16" s="60"/>
    </row>
    <row r="17" spans="1:6" ht="16.5" customHeight="1" x14ac:dyDescent="0.3">
      <c r="A17" s="6" t="s">
        <v>896</v>
      </c>
      <c r="B17" s="6" t="s">
        <v>897</v>
      </c>
      <c r="C17" s="7" t="s">
        <v>898</v>
      </c>
      <c r="D17" s="7" t="s">
        <v>899</v>
      </c>
      <c r="E17" s="7" t="s">
        <v>900</v>
      </c>
      <c r="F17" s="7" t="s">
        <v>901</v>
      </c>
    </row>
    <row r="18" spans="1:6" ht="72" customHeight="1" x14ac:dyDescent="0.3">
      <c r="A18" s="17" t="s">
        <v>902</v>
      </c>
      <c r="B18" s="17" t="s">
        <v>903</v>
      </c>
      <c r="C18" s="19" t="s">
        <v>904</v>
      </c>
      <c r="D18" s="17" t="s">
        <v>905</v>
      </c>
      <c r="E18" s="17" t="s">
        <v>906</v>
      </c>
      <c r="F18" s="17" t="s">
        <v>907</v>
      </c>
    </row>
    <row r="19" spans="1:6" ht="43.5" customHeight="1" x14ac:dyDescent="0.3">
      <c r="A19" s="17" t="s">
        <v>908</v>
      </c>
      <c r="B19" s="17" t="s">
        <v>909</v>
      </c>
      <c r="C19" s="19" t="s">
        <v>910</v>
      </c>
      <c r="D19" s="17" t="s">
        <v>911</v>
      </c>
      <c r="E19" s="19" t="s">
        <v>912</v>
      </c>
      <c r="F19" s="17" t="s">
        <v>913</v>
      </c>
    </row>
    <row r="20" spans="1:6" ht="43.5" customHeight="1" x14ac:dyDescent="0.3">
      <c r="A20" s="17" t="s">
        <v>914</v>
      </c>
      <c r="B20" s="17" t="s">
        <v>909</v>
      </c>
      <c r="C20" s="19" t="s">
        <v>910</v>
      </c>
      <c r="D20" s="17" t="s">
        <v>915</v>
      </c>
      <c r="E20" s="19" t="s">
        <v>916</v>
      </c>
      <c r="F20" s="19" t="s">
        <v>917</v>
      </c>
    </row>
    <row r="21" spans="1:6" ht="29.25" customHeight="1" x14ac:dyDescent="0.3">
      <c r="A21" s="17" t="s">
        <v>918</v>
      </c>
      <c r="B21" s="17" t="s">
        <v>909</v>
      </c>
      <c r="C21" s="19" t="s">
        <v>910</v>
      </c>
      <c r="D21" s="17" t="s">
        <v>919</v>
      </c>
      <c r="E21" s="19" t="s">
        <v>920</v>
      </c>
      <c r="F21" s="19" t="s">
        <v>921</v>
      </c>
    </row>
    <row r="22" spans="1:6" ht="57.75" customHeight="1" x14ac:dyDescent="0.3">
      <c r="A22" s="17" t="s">
        <v>922</v>
      </c>
      <c r="B22" s="17" t="s">
        <v>923</v>
      </c>
      <c r="C22" s="19" t="s">
        <v>910</v>
      </c>
      <c r="D22" s="17" t="s">
        <v>924</v>
      </c>
      <c r="E22" s="19" t="s">
        <v>805</v>
      </c>
      <c r="F22" s="17" t="s">
        <v>925</v>
      </c>
    </row>
    <row r="23" spans="1:6" ht="15.75" customHeight="1" x14ac:dyDescent="0.3">
      <c r="A23" s="4"/>
      <c r="B23" s="4"/>
      <c r="C23" s="4"/>
      <c r="D23" s="4"/>
      <c r="E23" s="4"/>
      <c r="F23" s="4"/>
    </row>
    <row r="24" spans="1:6" ht="15.75" customHeight="1" x14ac:dyDescent="0.3">
      <c r="A24" s="4"/>
      <c r="B24" s="4"/>
      <c r="C24" s="4"/>
      <c r="D24" s="4"/>
      <c r="E24" s="4"/>
      <c r="F24" s="4"/>
    </row>
    <row r="25" spans="1:6" ht="15" customHeight="1" x14ac:dyDescent="0.4">
      <c r="A25" s="61" t="s">
        <v>926</v>
      </c>
      <c r="B25" s="60"/>
      <c r="C25" s="60"/>
      <c r="D25" s="60"/>
      <c r="E25" s="60"/>
      <c r="F25" s="60"/>
    </row>
    <row r="26" spans="1:6" ht="15" customHeight="1" x14ac:dyDescent="0.3">
      <c r="A26" s="63" t="s">
        <v>927</v>
      </c>
      <c r="B26" s="60"/>
      <c r="C26" s="60"/>
      <c r="D26" s="60"/>
      <c r="E26" s="60"/>
      <c r="F26" s="60"/>
    </row>
    <row r="27" spans="1:6" ht="15" customHeight="1" x14ac:dyDescent="0.3">
      <c r="A27" s="63" t="s">
        <v>928</v>
      </c>
      <c r="B27" s="60"/>
      <c r="C27" s="60"/>
      <c r="D27" s="60"/>
      <c r="E27" s="60"/>
      <c r="F27" s="60"/>
    </row>
    <row r="28" spans="1:6" ht="15" customHeight="1" x14ac:dyDescent="0.3">
      <c r="A28" s="63" t="s">
        <v>929</v>
      </c>
      <c r="B28" s="60"/>
      <c r="C28" s="60"/>
      <c r="D28" s="60"/>
      <c r="E28" s="60"/>
      <c r="F28" s="60"/>
    </row>
    <row r="29" spans="1:6" ht="15" customHeight="1" x14ac:dyDescent="0.3">
      <c r="A29" s="63" t="s">
        <v>930</v>
      </c>
      <c r="B29" s="60"/>
      <c r="C29" s="60"/>
      <c r="D29" s="60"/>
      <c r="E29" s="60"/>
      <c r="F29" s="60"/>
    </row>
    <row r="30" spans="1:6" ht="15" customHeight="1" x14ac:dyDescent="0.3">
      <c r="A30" s="63" t="s">
        <v>931</v>
      </c>
      <c r="B30" s="60"/>
      <c r="C30" s="60"/>
      <c r="D30" s="60"/>
      <c r="E30" s="60"/>
      <c r="F30" s="60"/>
    </row>
    <row r="31" spans="1:6" ht="15" customHeight="1" x14ac:dyDescent="0.3">
      <c r="A31" s="63" t="s">
        <v>932</v>
      </c>
      <c r="B31" s="60"/>
      <c r="C31" s="60"/>
      <c r="D31" s="60"/>
      <c r="E31" s="60"/>
      <c r="F31" s="60"/>
    </row>
    <row r="32" spans="1:6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  <row r="978" spans="1:6" ht="15.75" customHeight="1" x14ac:dyDescent="0.3">
      <c r="A978" s="4"/>
      <c r="B978" s="4"/>
      <c r="C978" s="4"/>
      <c r="D978" s="4"/>
      <c r="E978" s="4"/>
      <c r="F978" s="4"/>
    </row>
    <row r="979" spans="1:6" ht="15.75" customHeight="1" x14ac:dyDescent="0.3">
      <c r="A979" s="4"/>
      <c r="B979" s="4"/>
      <c r="C979" s="4"/>
      <c r="D979" s="4"/>
      <c r="E979" s="4"/>
      <c r="F979" s="4"/>
    </row>
    <row r="980" spans="1:6" ht="15.75" customHeight="1" x14ac:dyDescent="0.3">
      <c r="A980" s="4"/>
      <c r="B980" s="4"/>
      <c r="C980" s="4"/>
      <c r="D980" s="4"/>
      <c r="E980" s="4"/>
      <c r="F980" s="4"/>
    </row>
    <row r="981" spans="1:6" ht="15.75" customHeight="1" x14ac:dyDescent="0.3">
      <c r="A981" s="4"/>
      <c r="B981" s="4"/>
      <c r="C981" s="4"/>
      <c r="D981" s="4"/>
      <c r="E981" s="4"/>
      <c r="F981" s="4"/>
    </row>
    <row r="982" spans="1:6" ht="15.75" customHeight="1" x14ac:dyDescent="0.3">
      <c r="A982" s="4"/>
      <c r="B982" s="4"/>
      <c r="C982" s="4"/>
      <c r="D982" s="4"/>
      <c r="E982" s="4"/>
      <c r="F982" s="4"/>
    </row>
    <row r="983" spans="1:6" ht="15.75" customHeight="1" x14ac:dyDescent="0.3">
      <c r="A983" s="4"/>
      <c r="B983" s="4"/>
      <c r="C983" s="4"/>
      <c r="D983" s="4"/>
      <c r="E983" s="4"/>
      <c r="F983" s="4"/>
    </row>
    <row r="984" spans="1:6" ht="15.75" customHeight="1" x14ac:dyDescent="0.3">
      <c r="A984" s="4"/>
      <c r="B984" s="4"/>
      <c r="C984" s="4"/>
      <c r="D984" s="4"/>
      <c r="E984" s="4"/>
      <c r="F984" s="4"/>
    </row>
    <row r="985" spans="1:6" ht="15.75" customHeight="1" x14ac:dyDescent="0.3">
      <c r="A985" s="4"/>
      <c r="B985" s="4"/>
      <c r="C985" s="4"/>
      <c r="D985" s="4"/>
      <c r="E985" s="4"/>
      <c r="F985" s="4"/>
    </row>
    <row r="986" spans="1:6" ht="15.75" customHeight="1" x14ac:dyDescent="0.3">
      <c r="A986" s="4"/>
      <c r="B986" s="4"/>
      <c r="C986" s="4"/>
      <c r="D986" s="4"/>
      <c r="E986" s="4"/>
      <c r="F986" s="4"/>
    </row>
    <row r="987" spans="1:6" ht="15.75" customHeight="1" x14ac:dyDescent="0.3">
      <c r="A987" s="4"/>
      <c r="B987" s="4"/>
      <c r="C987" s="4"/>
      <c r="D987" s="4"/>
      <c r="E987" s="4"/>
      <c r="F987" s="4"/>
    </row>
    <row r="988" spans="1:6" ht="15.75" customHeight="1" x14ac:dyDescent="0.3">
      <c r="A988" s="4"/>
      <c r="B988" s="4"/>
      <c r="C988" s="4"/>
      <c r="D988" s="4"/>
      <c r="E988" s="4"/>
      <c r="F988" s="4"/>
    </row>
    <row r="989" spans="1:6" ht="15.75" customHeight="1" x14ac:dyDescent="0.3">
      <c r="A989" s="4"/>
      <c r="B989" s="4"/>
      <c r="C989" s="4"/>
      <c r="D989" s="4"/>
      <c r="E989" s="4"/>
      <c r="F989" s="4"/>
    </row>
    <row r="990" spans="1:6" ht="15.75" customHeight="1" x14ac:dyDescent="0.3">
      <c r="A990" s="4"/>
      <c r="B990" s="4"/>
      <c r="C990" s="4"/>
      <c r="D990" s="4"/>
      <c r="E990" s="4"/>
      <c r="F990" s="4"/>
    </row>
    <row r="991" spans="1:6" ht="15.75" customHeight="1" x14ac:dyDescent="0.3">
      <c r="A991" s="4"/>
      <c r="B991" s="4"/>
      <c r="C991" s="4"/>
      <c r="D991" s="4"/>
      <c r="E991" s="4"/>
      <c r="F991" s="4"/>
    </row>
    <row r="992" spans="1:6" ht="15.75" customHeight="1" x14ac:dyDescent="0.3">
      <c r="A992" s="4"/>
      <c r="B992" s="4"/>
      <c r="C992" s="4"/>
      <c r="D992" s="4"/>
      <c r="E992" s="4"/>
      <c r="F992" s="4"/>
    </row>
    <row r="993" spans="1:6" ht="15.75" customHeight="1" x14ac:dyDescent="0.3">
      <c r="A993" s="4"/>
      <c r="B993" s="4"/>
      <c r="C993" s="4"/>
      <c r="D993" s="4"/>
      <c r="E993" s="4"/>
      <c r="F993" s="4"/>
    </row>
    <row r="994" spans="1:6" ht="15.75" customHeight="1" x14ac:dyDescent="0.3">
      <c r="A994" s="4"/>
      <c r="B994" s="4"/>
      <c r="C994" s="4"/>
      <c r="D994" s="4"/>
      <c r="E994" s="4"/>
      <c r="F994" s="4"/>
    </row>
    <row r="995" spans="1:6" ht="15.75" customHeight="1" x14ac:dyDescent="0.3">
      <c r="A995" s="4"/>
      <c r="B995" s="4"/>
      <c r="C995" s="4"/>
      <c r="D995" s="4"/>
      <c r="E995" s="4"/>
      <c r="F995" s="4"/>
    </row>
    <row r="996" spans="1:6" ht="15.75" customHeight="1" x14ac:dyDescent="0.3">
      <c r="A996" s="4"/>
      <c r="B996" s="4"/>
      <c r="C996" s="4"/>
      <c r="D996" s="4"/>
      <c r="E996" s="4"/>
      <c r="F996" s="4"/>
    </row>
    <row r="997" spans="1:6" ht="15.75" customHeight="1" x14ac:dyDescent="0.3">
      <c r="A997" s="4"/>
      <c r="B997" s="4"/>
      <c r="C997" s="4"/>
      <c r="D997" s="4"/>
      <c r="E997" s="4"/>
      <c r="F997" s="4"/>
    </row>
    <row r="998" spans="1:6" ht="15.75" customHeight="1" x14ac:dyDescent="0.3">
      <c r="A998" s="4"/>
      <c r="B998" s="4"/>
      <c r="C998" s="4"/>
      <c r="D998" s="4"/>
      <c r="E998" s="4"/>
      <c r="F998" s="4"/>
    </row>
    <row r="999" spans="1:6" ht="15.75" customHeight="1" x14ac:dyDescent="0.3">
      <c r="A999" s="4"/>
      <c r="B999" s="4"/>
      <c r="C999" s="4"/>
      <c r="D999" s="4"/>
      <c r="E999" s="4"/>
      <c r="F999" s="4"/>
    </row>
    <row r="1000" spans="1:6" ht="15.75" customHeight="1" x14ac:dyDescent="0.3">
      <c r="A1000" s="4"/>
      <c r="B1000" s="4"/>
      <c r="C1000" s="4"/>
      <c r="D1000" s="4"/>
      <c r="E1000" s="4"/>
      <c r="F1000" s="4"/>
    </row>
  </sheetData>
  <mergeCells count="11">
    <mergeCell ref="A31:F31"/>
    <mergeCell ref="A4:F4"/>
    <mergeCell ref="A26:F26"/>
    <mergeCell ref="A30:F30"/>
    <mergeCell ref="A29:F29"/>
    <mergeCell ref="A25:F25"/>
    <mergeCell ref="A2:F2"/>
    <mergeCell ref="A16:F16"/>
    <mergeCell ref="A28:F28"/>
    <mergeCell ref="A1:F1"/>
    <mergeCell ref="A27:F27"/>
  </mergeCells>
  <phoneticPr fontId="14"/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4140625" defaultRowHeight="15" customHeight="1" x14ac:dyDescent="0.3"/>
  <cols>
    <col min="1" max="1" width="28" customWidth="1"/>
    <col min="2" max="2" width="45" customWidth="1"/>
    <col min="3" max="3" width="20" customWidth="1"/>
    <col min="4" max="4" width="30" customWidth="1"/>
    <col min="5" max="5" width="12" customWidth="1"/>
    <col min="6" max="26" width="8.6640625" customWidth="1"/>
  </cols>
  <sheetData>
    <row r="1" spans="1:5" ht="21" customHeight="1" x14ac:dyDescent="0.3">
      <c r="A1" s="59" t="s">
        <v>933</v>
      </c>
      <c r="B1" s="60"/>
      <c r="C1" s="60"/>
      <c r="D1" s="60"/>
      <c r="E1" s="60"/>
    </row>
    <row r="2" spans="1:5" ht="14.4" x14ac:dyDescent="0.3">
      <c r="A2" s="4"/>
      <c r="B2" s="4"/>
      <c r="C2" s="4"/>
      <c r="D2" s="4"/>
      <c r="E2" s="4"/>
    </row>
    <row r="3" spans="1:5" ht="16.5" customHeight="1" x14ac:dyDescent="0.3">
      <c r="A3" s="32" t="s">
        <v>934</v>
      </c>
      <c r="B3" s="32" t="s">
        <v>935</v>
      </c>
      <c r="C3" s="32" t="s">
        <v>936</v>
      </c>
      <c r="D3" s="32" t="s">
        <v>937</v>
      </c>
      <c r="E3" s="32" t="s">
        <v>92</v>
      </c>
    </row>
    <row r="4" spans="1:5" ht="15" customHeight="1" x14ac:dyDescent="0.3">
      <c r="A4" s="17" t="s">
        <v>547</v>
      </c>
      <c r="B4" s="19" t="s">
        <v>938</v>
      </c>
      <c r="C4" s="17" t="s">
        <v>939</v>
      </c>
      <c r="D4" s="17" t="s">
        <v>550</v>
      </c>
      <c r="E4" s="19" t="s">
        <v>25</v>
      </c>
    </row>
    <row r="5" spans="1:5" ht="15" customHeight="1" x14ac:dyDescent="0.3">
      <c r="A5" s="17" t="s">
        <v>437</v>
      </c>
      <c r="B5" s="19" t="s">
        <v>940</v>
      </c>
      <c r="C5" s="17" t="s">
        <v>941</v>
      </c>
      <c r="D5" s="17" t="s">
        <v>439</v>
      </c>
      <c r="E5" s="19" t="s">
        <v>25</v>
      </c>
    </row>
    <row r="6" spans="1:5" ht="15" customHeight="1" x14ac:dyDescent="0.3">
      <c r="A6" s="17" t="s">
        <v>592</v>
      </c>
      <c r="B6" s="19" t="s">
        <v>942</v>
      </c>
      <c r="C6" s="17" t="s">
        <v>590</v>
      </c>
      <c r="D6" s="17" t="s">
        <v>594</v>
      </c>
      <c r="E6" s="19" t="s">
        <v>25</v>
      </c>
    </row>
    <row r="7" spans="1:5" ht="15" customHeight="1" x14ac:dyDescent="0.3">
      <c r="A7" s="17" t="s">
        <v>597</v>
      </c>
      <c r="B7" s="19" t="s">
        <v>943</v>
      </c>
      <c r="C7" s="17" t="s">
        <v>596</v>
      </c>
      <c r="D7" s="17" t="s">
        <v>599</v>
      </c>
      <c r="E7" s="19" t="s">
        <v>25</v>
      </c>
    </row>
    <row r="8" spans="1:5" ht="15" customHeight="1" x14ac:dyDescent="0.3">
      <c r="A8" s="17" t="s">
        <v>602</v>
      </c>
      <c r="B8" s="19" t="s">
        <v>944</v>
      </c>
      <c r="C8" s="17" t="s">
        <v>601</v>
      </c>
      <c r="D8" s="17" t="s">
        <v>605</v>
      </c>
      <c r="E8" s="19" t="s">
        <v>25</v>
      </c>
    </row>
    <row r="9" spans="1:5" ht="29.25" customHeight="1" x14ac:dyDescent="0.3">
      <c r="A9" s="17" t="s">
        <v>442</v>
      </c>
      <c r="B9" s="19" t="s">
        <v>945</v>
      </c>
      <c r="C9" s="17" t="s">
        <v>946</v>
      </c>
      <c r="D9" s="17" t="s">
        <v>444</v>
      </c>
      <c r="E9" s="19" t="s">
        <v>25</v>
      </c>
    </row>
    <row r="10" spans="1:5" ht="15" customHeight="1" x14ac:dyDescent="0.3">
      <c r="A10" s="17" t="s">
        <v>447</v>
      </c>
      <c r="B10" s="19" t="s">
        <v>947</v>
      </c>
      <c r="C10" s="17" t="s">
        <v>948</v>
      </c>
      <c r="D10" s="17" t="s">
        <v>450</v>
      </c>
      <c r="E10" s="19" t="s">
        <v>25</v>
      </c>
    </row>
    <row r="11" spans="1:5" ht="15" customHeight="1" x14ac:dyDescent="0.3">
      <c r="A11" s="17" t="s">
        <v>552</v>
      </c>
      <c r="B11" s="19" t="s">
        <v>949</v>
      </c>
      <c r="C11" s="17" t="s">
        <v>950</v>
      </c>
      <c r="D11" s="17" t="s">
        <v>554</v>
      </c>
      <c r="E11" s="19" t="s">
        <v>25</v>
      </c>
    </row>
    <row r="12" spans="1:5" ht="15" customHeight="1" x14ac:dyDescent="0.3">
      <c r="A12" s="17" t="s">
        <v>557</v>
      </c>
      <c r="B12" s="17" t="s">
        <v>951</v>
      </c>
      <c r="C12" s="17" t="s">
        <v>952</v>
      </c>
      <c r="D12" s="17" t="s">
        <v>560</v>
      </c>
      <c r="E12" s="19" t="s">
        <v>25</v>
      </c>
    </row>
    <row r="13" spans="1:5" ht="15" customHeight="1" x14ac:dyDescent="0.3">
      <c r="A13" s="17" t="s">
        <v>453</v>
      </c>
      <c r="B13" s="19" t="s">
        <v>953</v>
      </c>
      <c r="C13" s="17" t="s">
        <v>954</v>
      </c>
      <c r="D13" s="17" t="s">
        <v>455</v>
      </c>
      <c r="E13" s="19" t="s">
        <v>25</v>
      </c>
    </row>
    <row r="14" spans="1:5" ht="15" customHeight="1" x14ac:dyDescent="0.3">
      <c r="A14" s="17" t="s">
        <v>301</v>
      </c>
      <c r="B14" s="19" t="s">
        <v>955</v>
      </c>
      <c r="C14" s="17" t="s">
        <v>956</v>
      </c>
      <c r="D14" s="17" t="s">
        <v>304</v>
      </c>
      <c r="E14" s="19" t="s">
        <v>25</v>
      </c>
    </row>
    <row r="15" spans="1:5" ht="14.4" x14ac:dyDescent="0.3">
      <c r="A15" s="4"/>
      <c r="B15" s="4"/>
      <c r="C15" s="4"/>
      <c r="D15" s="4"/>
      <c r="E15" s="4"/>
    </row>
    <row r="16" spans="1:5" ht="14.4" x14ac:dyDescent="0.3">
      <c r="A16" s="4"/>
      <c r="B16" s="4"/>
      <c r="C16" s="4"/>
      <c r="D16" s="4"/>
      <c r="E16" s="4"/>
    </row>
    <row r="17" spans="1:5" ht="14.4" x14ac:dyDescent="0.3">
      <c r="A17" s="4"/>
      <c r="B17" s="4"/>
      <c r="C17" s="4"/>
      <c r="D17" s="4"/>
      <c r="E17" s="4"/>
    </row>
    <row r="18" spans="1:5" ht="14.4" x14ac:dyDescent="0.3">
      <c r="A18" s="4"/>
      <c r="B18" s="4"/>
      <c r="C18" s="4"/>
      <c r="D18" s="4"/>
      <c r="E18" s="4"/>
    </row>
    <row r="19" spans="1:5" ht="14.4" x14ac:dyDescent="0.3">
      <c r="A19" s="4"/>
      <c r="B19" s="4"/>
      <c r="C19" s="4"/>
      <c r="D19" s="4"/>
      <c r="E19" s="4"/>
    </row>
    <row r="20" spans="1:5" ht="14.4" x14ac:dyDescent="0.3">
      <c r="A20" s="4"/>
      <c r="B20" s="4"/>
      <c r="C20" s="4"/>
      <c r="D20" s="4"/>
      <c r="E20" s="4"/>
    </row>
    <row r="21" spans="1:5" ht="15.75" customHeight="1" x14ac:dyDescent="0.3">
      <c r="A21" s="4"/>
      <c r="B21" s="4"/>
      <c r="C21" s="4"/>
      <c r="D21" s="4"/>
      <c r="E21" s="4"/>
    </row>
    <row r="22" spans="1:5" ht="15.75" customHeight="1" x14ac:dyDescent="0.3">
      <c r="A22" s="4"/>
      <c r="B22" s="4"/>
      <c r="C22" s="4"/>
      <c r="D22" s="4"/>
      <c r="E22" s="4"/>
    </row>
    <row r="23" spans="1:5" ht="15.75" customHeight="1" x14ac:dyDescent="0.3">
      <c r="A23" s="4"/>
      <c r="B23" s="4"/>
      <c r="C23" s="4"/>
      <c r="D23" s="4"/>
      <c r="E23" s="4"/>
    </row>
    <row r="24" spans="1:5" ht="15.75" customHeight="1" x14ac:dyDescent="0.3">
      <c r="A24" s="4"/>
      <c r="B24" s="4"/>
      <c r="C24" s="4"/>
      <c r="D24" s="4"/>
      <c r="E24" s="4"/>
    </row>
    <row r="25" spans="1:5" ht="15.75" customHeight="1" x14ac:dyDescent="0.3">
      <c r="A25" s="4"/>
      <c r="B25" s="4"/>
      <c r="C25" s="4"/>
      <c r="D25" s="4"/>
      <c r="E25" s="4"/>
    </row>
    <row r="26" spans="1:5" ht="15.75" customHeight="1" x14ac:dyDescent="0.3">
      <c r="A26" s="4"/>
      <c r="B26" s="4"/>
      <c r="C26" s="4"/>
      <c r="D26" s="4"/>
      <c r="E26" s="4"/>
    </row>
    <row r="27" spans="1:5" ht="15.75" customHeight="1" x14ac:dyDescent="0.3">
      <c r="A27" s="4"/>
      <c r="B27" s="4"/>
      <c r="C27" s="4"/>
      <c r="D27" s="4"/>
      <c r="E27" s="4"/>
    </row>
    <row r="28" spans="1:5" ht="15.75" customHeight="1" x14ac:dyDescent="0.3">
      <c r="A28" s="4"/>
      <c r="B28" s="4"/>
      <c r="C28" s="4"/>
      <c r="D28" s="4"/>
      <c r="E28" s="4"/>
    </row>
    <row r="29" spans="1:5" ht="15.75" customHeight="1" x14ac:dyDescent="0.3">
      <c r="A29" s="4"/>
      <c r="B29" s="4"/>
      <c r="C29" s="4"/>
      <c r="D29" s="4"/>
      <c r="E29" s="4"/>
    </row>
    <row r="30" spans="1:5" ht="15.75" customHeight="1" x14ac:dyDescent="0.3">
      <c r="A30" s="4"/>
      <c r="B30" s="4"/>
      <c r="C30" s="4"/>
      <c r="D30" s="4"/>
      <c r="E30" s="4"/>
    </row>
    <row r="31" spans="1:5" ht="15.75" customHeight="1" x14ac:dyDescent="0.3">
      <c r="A31" s="4"/>
      <c r="B31" s="4"/>
      <c r="C31" s="4"/>
      <c r="D31" s="4"/>
      <c r="E31" s="4"/>
    </row>
    <row r="32" spans="1:5" ht="15.75" customHeight="1" x14ac:dyDescent="0.3">
      <c r="A32" s="4"/>
      <c r="B32" s="4"/>
      <c r="C32" s="4"/>
      <c r="D32" s="4"/>
      <c r="E32" s="4"/>
    </row>
    <row r="33" spans="1:5" ht="15.75" customHeight="1" x14ac:dyDescent="0.3">
      <c r="A33" s="4"/>
      <c r="B33" s="4"/>
      <c r="C33" s="4"/>
      <c r="D33" s="4"/>
      <c r="E33" s="4"/>
    </row>
    <row r="34" spans="1:5" ht="15.75" customHeight="1" x14ac:dyDescent="0.3">
      <c r="A34" s="4"/>
      <c r="B34" s="4"/>
      <c r="C34" s="4"/>
      <c r="D34" s="4"/>
      <c r="E34" s="4"/>
    </row>
    <row r="35" spans="1:5" ht="15.75" customHeight="1" x14ac:dyDescent="0.3">
      <c r="A35" s="4"/>
      <c r="B35" s="4"/>
      <c r="C35" s="4"/>
      <c r="D35" s="4"/>
      <c r="E35" s="4"/>
    </row>
    <row r="36" spans="1:5" ht="15.75" customHeight="1" x14ac:dyDescent="0.3">
      <c r="A36" s="4"/>
      <c r="B36" s="4"/>
      <c r="C36" s="4"/>
      <c r="D36" s="4"/>
      <c r="E36" s="4"/>
    </row>
    <row r="37" spans="1:5" ht="15.75" customHeight="1" x14ac:dyDescent="0.3">
      <c r="A37" s="4"/>
      <c r="B37" s="4"/>
      <c r="C37" s="4"/>
      <c r="D37" s="4"/>
      <c r="E37" s="4"/>
    </row>
    <row r="38" spans="1:5" ht="15.75" customHeight="1" x14ac:dyDescent="0.3">
      <c r="A38" s="4"/>
      <c r="B38" s="4"/>
      <c r="C38" s="4"/>
      <c r="D38" s="4"/>
      <c r="E38" s="4"/>
    </row>
    <row r="39" spans="1:5" ht="15.75" customHeight="1" x14ac:dyDescent="0.3">
      <c r="A39" s="4"/>
      <c r="B39" s="4"/>
      <c r="C39" s="4"/>
      <c r="D39" s="4"/>
      <c r="E39" s="4"/>
    </row>
    <row r="40" spans="1:5" ht="15.75" customHeight="1" x14ac:dyDescent="0.3">
      <c r="A40" s="4"/>
      <c r="B40" s="4"/>
      <c r="C40" s="4"/>
      <c r="D40" s="4"/>
      <c r="E40" s="4"/>
    </row>
    <row r="41" spans="1:5" ht="15.75" customHeight="1" x14ac:dyDescent="0.3">
      <c r="A41" s="4"/>
      <c r="B41" s="4"/>
      <c r="C41" s="4"/>
      <c r="D41" s="4"/>
      <c r="E41" s="4"/>
    </row>
    <row r="42" spans="1:5" ht="15.75" customHeight="1" x14ac:dyDescent="0.3">
      <c r="A42" s="4"/>
      <c r="B42" s="4"/>
      <c r="C42" s="4"/>
      <c r="D42" s="4"/>
      <c r="E42" s="4"/>
    </row>
    <row r="43" spans="1:5" ht="15.75" customHeight="1" x14ac:dyDescent="0.3">
      <c r="A43" s="4"/>
      <c r="B43" s="4"/>
      <c r="C43" s="4"/>
      <c r="D43" s="4"/>
      <c r="E43" s="4"/>
    </row>
    <row r="44" spans="1:5" ht="15.75" customHeight="1" x14ac:dyDescent="0.3">
      <c r="A44" s="4"/>
      <c r="B44" s="4"/>
      <c r="C44" s="4"/>
      <c r="D44" s="4"/>
      <c r="E44" s="4"/>
    </row>
    <row r="45" spans="1:5" ht="15.75" customHeight="1" x14ac:dyDescent="0.3">
      <c r="A45" s="4"/>
      <c r="B45" s="4"/>
      <c r="C45" s="4"/>
      <c r="D45" s="4"/>
      <c r="E45" s="4"/>
    </row>
    <row r="46" spans="1:5" ht="15.75" customHeight="1" x14ac:dyDescent="0.3">
      <c r="A46" s="4"/>
      <c r="B46" s="4"/>
      <c r="C46" s="4"/>
      <c r="D46" s="4"/>
      <c r="E46" s="4"/>
    </row>
    <row r="47" spans="1:5" ht="15.75" customHeight="1" x14ac:dyDescent="0.3">
      <c r="A47" s="4"/>
      <c r="B47" s="4"/>
      <c r="C47" s="4"/>
      <c r="D47" s="4"/>
      <c r="E47" s="4"/>
    </row>
    <row r="48" spans="1:5" ht="15.75" customHeight="1" x14ac:dyDescent="0.3">
      <c r="A48" s="4"/>
      <c r="B48" s="4"/>
      <c r="C48" s="4"/>
      <c r="D48" s="4"/>
      <c r="E48" s="4"/>
    </row>
    <row r="49" spans="1:5" ht="15.75" customHeight="1" x14ac:dyDescent="0.3">
      <c r="A49" s="4"/>
      <c r="B49" s="4"/>
      <c r="C49" s="4"/>
      <c r="D49" s="4"/>
      <c r="E49" s="4"/>
    </row>
    <row r="50" spans="1:5" ht="15.75" customHeight="1" x14ac:dyDescent="0.3">
      <c r="A50" s="4"/>
      <c r="B50" s="4"/>
      <c r="C50" s="4"/>
      <c r="D50" s="4"/>
      <c r="E50" s="4"/>
    </row>
    <row r="51" spans="1:5" ht="15.75" customHeight="1" x14ac:dyDescent="0.3">
      <c r="A51" s="4"/>
      <c r="B51" s="4"/>
      <c r="C51" s="4"/>
      <c r="D51" s="4"/>
      <c r="E51" s="4"/>
    </row>
    <row r="52" spans="1:5" ht="15.75" customHeight="1" x14ac:dyDescent="0.3">
      <c r="A52" s="4"/>
      <c r="B52" s="4"/>
      <c r="C52" s="4"/>
      <c r="D52" s="4"/>
      <c r="E52" s="4"/>
    </row>
    <row r="53" spans="1:5" ht="15.75" customHeight="1" x14ac:dyDescent="0.3">
      <c r="A53" s="4"/>
      <c r="B53" s="4"/>
      <c r="C53" s="4"/>
      <c r="D53" s="4"/>
      <c r="E53" s="4"/>
    </row>
    <row r="54" spans="1:5" ht="15.75" customHeight="1" x14ac:dyDescent="0.3">
      <c r="A54" s="4"/>
      <c r="B54" s="4"/>
      <c r="C54" s="4"/>
      <c r="D54" s="4"/>
      <c r="E54" s="4"/>
    </row>
    <row r="55" spans="1:5" ht="15.75" customHeight="1" x14ac:dyDescent="0.3">
      <c r="A55" s="4"/>
      <c r="B55" s="4"/>
      <c r="C55" s="4"/>
      <c r="D55" s="4"/>
      <c r="E55" s="4"/>
    </row>
    <row r="56" spans="1:5" ht="15.75" customHeight="1" x14ac:dyDescent="0.3">
      <c r="A56" s="4"/>
      <c r="B56" s="4"/>
      <c r="C56" s="4"/>
      <c r="D56" s="4"/>
      <c r="E56" s="4"/>
    </row>
    <row r="57" spans="1:5" ht="15.75" customHeight="1" x14ac:dyDescent="0.3">
      <c r="A57" s="4"/>
      <c r="B57" s="4"/>
      <c r="C57" s="4"/>
      <c r="D57" s="4"/>
      <c r="E57" s="4"/>
    </row>
    <row r="58" spans="1:5" ht="15.75" customHeight="1" x14ac:dyDescent="0.3">
      <c r="A58" s="4"/>
      <c r="B58" s="4"/>
      <c r="C58" s="4"/>
      <c r="D58" s="4"/>
      <c r="E58" s="4"/>
    </row>
    <row r="59" spans="1:5" ht="15.75" customHeight="1" x14ac:dyDescent="0.3">
      <c r="A59" s="4"/>
      <c r="B59" s="4"/>
      <c r="C59" s="4"/>
      <c r="D59" s="4"/>
      <c r="E59" s="4"/>
    </row>
    <row r="60" spans="1:5" ht="15.75" customHeight="1" x14ac:dyDescent="0.3">
      <c r="A60" s="4"/>
      <c r="B60" s="4"/>
      <c r="C60" s="4"/>
      <c r="D60" s="4"/>
      <c r="E60" s="4"/>
    </row>
    <row r="61" spans="1:5" ht="15.75" customHeight="1" x14ac:dyDescent="0.3">
      <c r="A61" s="4"/>
      <c r="B61" s="4"/>
      <c r="C61" s="4"/>
      <c r="D61" s="4"/>
      <c r="E61" s="4"/>
    </row>
    <row r="62" spans="1:5" ht="15.75" customHeight="1" x14ac:dyDescent="0.3">
      <c r="A62" s="4"/>
      <c r="B62" s="4"/>
      <c r="C62" s="4"/>
      <c r="D62" s="4"/>
      <c r="E62" s="4"/>
    </row>
    <row r="63" spans="1:5" ht="15.75" customHeight="1" x14ac:dyDescent="0.3">
      <c r="A63" s="4"/>
      <c r="B63" s="4"/>
      <c r="C63" s="4"/>
      <c r="D63" s="4"/>
      <c r="E63" s="4"/>
    </row>
    <row r="64" spans="1:5" ht="15.75" customHeight="1" x14ac:dyDescent="0.3">
      <c r="A64" s="4"/>
      <c r="B64" s="4"/>
      <c r="C64" s="4"/>
      <c r="D64" s="4"/>
      <c r="E64" s="4"/>
    </row>
    <row r="65" spans="1:5" ht="15.75" customHeight="1" x14ac:dyDescent="0.3">
      <c r="A65" s="4"/>
      <c r="B65" s="4"/>
      <c r="C65" s="4"/>
      <c r="D65" s="4"/>
      <c r="E65" s="4"/>
    </row>
    <row r="66" spans="1:5" ht="15.75" customHeight="1" x14ac:dyDescent="0.3">
      <c r="A66" s="4"/>
      <c r="B66" s="4"/>
      <c r="C66" s="4"/>
      <c r="D66" s="4"/>
      <c r="E66" s="4"/>
    </row>
    <row r="67" spans="1:5" ht="15.75" customHeight="1" x14ac:dyDescent="0.3">
      <c r="A67" s="4"/>
      <c r="B67" s="4"/>
      <c r="C67" s="4"/>
      <c r="D67" s="4"/>
      <c r="E67" s="4"/>
    </row>
    <row r="68" spans="1:5" ht="15.75" customHeight="1" x14ac:dyDescent="0.3">
      <c r="A68" s="4"/>
      <c r="B68" s="4"/>
      <c r="C68" s="4"/>
      <c r="D68" s="4"/>
      <c r="E68" s="4"/>
    </row>
    <row r="69" spans="1:5" ht="15.75" customHeight="1" x14ac:dyDescent="0.3">
      <c r="A69" s="4"/>
      <c r="B69" s="4"/>
      <c r="C69" s="4"/>
      <c r="D69" s="4"/>
      <c r="E69" s="4"/>
    </row>
    <row r="70" spans="1:5" ht="15.75" customHeight="1" x14ac:dyDescent="0.3">
      <c r="A70" s="4"/>
      <c r="B70" s="4"/>
      <c r="C70" s="4"/>
      <c r="D70" s="4"/>
      <c r="E70" s="4"/>
    </row>
    <row r="71" spans="1:5" ht="15.75" customHeight="1" x14ac:dyDescent="0.3">
      <c r="A71" s="4"/>
      <c r="B71" s="4"/>
      <c r="C71" s="4"/>
      <c r="D71" s="4"/>
      <c r="E71" s="4"/>
    </row>
    <row r="72" spans="1:5" ht="15.75" customHeight="1" x14ac:dyDescent="0.3">
      <c r="A72" s="4"/>
      <c r="B72" s="4"/>
      <c r="C72" s="4"/>
      <c r="D72" s="4"/>
      <c r="E72" s="4"/>
    </row>
    <row r="73" spans="1:5" ht="15.75" customHeight="1" x14ac:dyDescent="0.3">
      <c r="A73" s="4"/>
      <c r="B73" s="4"/>
      <c r="C73" s="4"/>
      <c r="D73" s="4"/>
      <c r="E73" s="4"/>
    </row>
    <row r="74" spans="1:5" ht="15.75" customHeight="1" x14ac:dyDescent="0.3">
      <c r="A74" s="4"/>
      <c r="B74" s="4"/>
      <c r="C74" s="4"/>
      <c r="D74" s="4"/>
      <c r="E74" s="4"/>
    </row>
    <row r="75" spans="1:5" ht="15.75" customHeight="1" x14ac:dyDescent="0.3">
      <c r="A75" s="4"/>
      <c r="B75" s="4"/>
      <c r="C75" s="4"/>
      <c r="D75" s="4"/>
      <c r="E75" s="4"/>
    </row>
    <row r="76" spans="1:5" ht="15.75" customHeight="1" x14ac:dyDescent="0.3">
      <c r="A76" s="4"/>
      <c r="B76" s="4"/>
      <c r="C76" s="4"/>
      <c r="D76" s="4"/>
      <c r="E76" s="4"/>
    </row>
    <row r="77" spans="1:5" ht="15.75" customHeight="1" x14ac:dyDescent="0.3">
      <c r="A77" s="4"/>
      <c r="B77" s="4"/>
      <c r="C77" s="4"/>
      <c r="D77" s="4"/>
      <c r="E77" s="4"/>
    </row>
    <row r="78" spans="1:5" ht="15.75" customHeight="1" x14ac:dyDescent="0.3">
      <c r="A78" s="4"/>
      <c r="B78" s="4"/>
      <c r="C78" s="4"/>
      <c r="D78" s="4"/>
      <c r="E78" s="4"/>
    </row>
    <row r="79" spans="1:5" ht="15.75" customHeight="1" x14ac:dyDescent="0.3">
      <c r="A79" s="4"/>
      <c r="B79" s="4"/>
      <c r="C79" s="4"/>
      <c r="D79" s="4"/>
      <c r="E79" s="4"/>
    </row>
    <row r="80" spans="1:5" ht="15.75" customHeight="1" x14ac:dyDescent="0.3">
      <c r="A80" s="4"/>
      <c r="B80" s="4"/>
      <c r="C80" s="4"/>
      <c r="D80" s="4"/>
      <c r="E80" s="4"/>
    </row>
    <row r="81" spans="1:5" ht="15.75" customHeight="1" x14ac:dyDescent="0.3">
      <c r="A81" s="4"/>
      <c r="B81" s="4"/>
      <c r="C81" s="4"/>
      <c r="D81" s="4"/>
      <c r="E81" s="4"/>
    </row>
    <row r="82" spans="1:5" ht="15.75" customHeight="1" x14ac:dyDescent="0.3">
      <c r="A82" s="4"/>
      <c r="B82" s="4"/>
      <c r="C82" s="4"/>
      <c r="D82" s="4"/>
      <c r="E82" s="4"/>
    </row>
    <row r="83" spans="1:5" ht="15.75" customHeight="1" x14ac:dyDescent="0.3">
      <c r="A83" s="4"/>
      <c r="B83" s="4"/>
      <c r="C83" s="4"/>
      <c r="D83" s="4"/>
      <c r="E83" s="4"/>
    </row>
    <row r="84" spans="1:5" ht="15.75" customHeight="1" x14ac:dyDescent="0.3">
      <c r="A84" s="4"/>
      <c r="B84" s="4"/>
      <c r="C84" s="4"/>
      <c r="D84" s="4"/>
      <c r="E84" s="4"/>
    </row>
    <row r="85" spans="1:5" ht="15.75" customHeight="1" x14ac:dyDescent="0.3">
      <c r="A85" s="4"/>
      <c r="B85" s="4"/>
      <c r="C85" s="4"/>
      <c r="D85" s="4"/>
      <c r="E85" s="4"/>
    </row>
    <row r="86" spans="1:5" ht="15.75" customHeight="1" x14ac:dyDescent="0.3">
      <c r="A86" s="4"/>
      <c r="B86" s="4"/>
      <c r="C86" s="4"/>
      <c r="D86" s="4"/>
      <c r="E86" s="4"/>
    </row>
    <row r="87" spans="1:5" ht="15.75" customHeight="1" x14ac:dyDescent="0.3">
      <c r="A87" s="4"/>
      <c r="B87" s="4"/>
      <c r="C87" s="4"/>
      <c r="D87" s="4"/>
      <c r="E87" s="4"/>
    </row>
    <row r="88" spans="1:5" ht="15.75" customHeight="1" x14ac:dyDescent="0.3">
      <c r="A88" s="4"/>
      <c r="B88" s="4"/>
      <c r="C88" s="4"/>
      <c r="D88" s="4"/>
      <c r="E88" s="4"/>
    </row>
    <row r="89" spans="1:5" ht="15.75" customHeight="1" x14ac:dyDescent="0.3">
      <c r="A89" s="4"/>
      <c r="B89" s="4"/>
      <c r="C89" s="4"/>
      <c r="D89" s="4"/>
      <c r="E89" s="4"/>
    </row>
    <row r="90" spans="1:5" ht="15.75" customHeight="1" x14ac:dyDescent="0.3">
      <c r="A90" s="4"/>
      <c r="B90" s="4"/>
      <c r="C90" s="4"/>
      <c r="D90" s="4"/>
      <c r="E90" s="4"/>
    </row>
    <row r="91" spans="1:5" ht="15.75" customHeight="1" x14ac:dyDescent="0.3">
      <c r="A91" s="4"/>
      <c r="B91" s="4"/>
      <c r="C91" s="4"/>
      <c r="D91" s="4"/>
      <c r="E91" s="4"/>
    </row>
    <row r="92" spans="1:5" ht="15.75" customHeight="1" x14ac:dyDescent="0.3">
      <c r="A92" s="4"/>
      <c r="B92" s="4"/>
      <c r="C92" s="4"/>
      <c r="D92" s="4"/>
      <c r="E92" s="4"/>
    </row>
    <row r="93" spans="1:5" ht="15.75" customHeight="1" x14ac:dyDescent="0.3">
      <c r="A93" s="4"/>
      <c r="B93" s="4"/>
      <c r="C93" s="4"/>
      <c r="D93" s="4"/>
      <c r="E93" s="4"/>
    </row>
    <row r="94" spans="1:5" ht="15.75" customHeight="1" x14ac:dyDescent="0.3">
      <c r="A94" s="4"/>
      <c r="B94" s="4"/>
      <c r="C94" s="4"/>
      <c r="D94" s="4"/>
      <c r="E94" s="4"/>
    </row>
    <row r="95" spans="1:5" ht="15.75" customHeight="1" x14ac:dyDescent="0.3">
      <c r="A95" s="4"/>
      <c r="B95" s="4"/>
      <c r="C95" s="4"/>
      <c r="D95" s="4"/>
      <c r="E95" s="4"/>
    </row>
    <row r="96" spans="1:5" ht="15.75" customHeight="1" x14ac:dyDescent="0.3">
      <c r="A96" s="4"/>
      <c r="B96" s="4"/>
      <c r="C96" s="4"/>
      <c r="D96" s="4"/>
      <c r="E96" s="4"/>
    </row>
    <row r="97" spans="1:5" ht="15.75" customHeight="1" x14ac:dyDescent="0.3">
      <c r="A97" s="4"/>
      <c r="B97" s="4"/>
      <c r="C97" s="4"/>
      <c r="D97" s="4"/>
      <c r="E97" s="4"/>
    </row>
    <row r="98" spans="1:5" ht="15.75" customHeight="1" x14ac:dyDescent="0.3">
      <c r="A98" s="4"/>
      <c r="B98" s="4"/>
      <c r="C98" s="4"/>
      <c r="D98" s="4"/>
      <c r="E98" s="4"/>
    </row>
    <row r="99" spans="1:5" ht="15.75" customHeight="1" x14ac:dyDescent="0.3">
      <c r="A99" s="4"/>
      <c r="B99" s="4"/>
      <c r="C99" s="4"/>
      <c r="D99" s="4"/>
      <c r="E99" s="4"/>
    </row>
    <row r="100" spans="1:5" ht="15.75" customHeight="1" x14ac:dyDescent="0.3">
      <c r="A100" s="4"/>
      <c r="B100" s="4"/>
      <c r="C100" s="4"/>
      <c r="D100" s="4"/>
      <c r="E100" s="4"/>
    </row>
    <row r="101" spans="1:5" ht="15.75" customHeight="1" x14ac:dyDescent="0.3">
      <c r="A101" s="4"/>
      <c r="B101" s="4"/>
      <c r="C101" s="4"/>
      <c r="D101" s="4"/>
      <c r="E101" s="4"/>
    </row>
    <row r="102" spans="1:5" ht="15.75" customHeight="1" x14ac:dyDescent="0.3">
      <c r="A102" s="4"/>
      <c r="B102" s="4"/>
      <c r="C102" s="4"/>
      <c r="D102" s="4"/>
      <c r="E102" s="4"/>
    </row>
    <row r="103" spans="1:5" ht="15.75" customHeight="1" x14ac:dyDescent="0.3">
      <c r="A103" s="4"/>
      <c r="B103" s="4"/>
      <c r="C103" s="4"/>
      <c r="D103" s="4"/>
      <c r="E103" s="4"/>
    </row>
    <row r="104" spans="1:5" ht="15.75" customHeight="1" x14ac:dyDescent="0.3">
      <c r="A104" s="4"/>
      <c r="B104" s="4"/>
      <c r="C104" s="4"/>
      <c r="D104" s="4"/>
      <c r="E104" s="4"/>
    </row>
    <row r="105" spans="1:5" ht="15.75" customHeight="1" x14ac:dyDescent="0.3">
      <c r="A105" s="4"/>
      <c r="B105" s="4"/>
      <c r="C105" s="4"/>
      <c r="D105" s="4"/>
      <c r="E105" s="4"/>
    </row>
    <row r="106" spans="1:5" ht="15.75" customHeight="1" x14ac:dyDescent="0.3">
      <c r="A106" s="4"/>
      <c r="B106" s="4"/>
      <c r="C106" s="4"/>
      <c r="D106" s="4"/>
      <c r="E106" s="4"/>
    </row>
    <row r="107" spans="1:5" ht="15.75" customHeight="1" x14ac:dyDescent="0.3">
      <c r="A107" s="4"/>
      <c r="B107" s="4"/>
      <c r="C107" s="4"/>
      <c r="D107" s="4"/>
      <c r="E107" s="4"/>
    </row>
    <row r="108" spans="1:5" ht="15.75" customHeight="1" x14ac:dyDescent="0.3">
      <c r="A108" s="4"/>
      <c r="B108" s="4"/>
      <c r="C108" s="4"/>
      <c r="D108" s="4"/>
      <c r="E108" s="4"/>
    </row>
    <row r="109" spans="1:5" ht="15.75" customHeight="1" x14ac:dyDescent="0.3">
      <c r="A109" s="4"/>
      <c r="B109" s="4"/>
      <c r="C109" s="4"/>
      <c r="D109" s="4"/>
      <c r="E109" s="4"/>
    </row>
    <row r="110" spans="1:5" ht="15.75" customHeight="1" x14ac:dyDescent="0.3">
      <c r="A110" s="4"/>
      <c r="B110" s="4"/>
      <c r="C110" s="4"/>
      <c r="D110" s="4"/>
      <c r="E110" s="4"/>
    </row>
    <row r="111" spans="1:5" ht="15.75" customHeight="1" x14ac:dyDescent="0.3">
      <c r="A111" s="4"/>
      <c r="B111" s="4"/>
      <c r="C111" s="4"/>
      <c r="D111" s="4"/>
      <c r="E111" s="4"/>
    </row>
    <row r="112" spans="1:5" ht="15.75" customHeight="1" x14ac:dyDescent="0.3">
      <c r="A112" s="4"/>
      <c r="B112" s="4"/>
      <c r="C112" s="4"/>
      <c r="D112" s="4"/>
      <c r="E112" s="4"/>
    </row>
    <row r="113" spans="1:5" ht="15.75" customHeight="1" x14ac:dyDescent="0.3">
      <c r="A113" s="4"/>
      <c r="B113" s="4"/>
      <c r="C113" s="4"/>
      <c r="D113" s="4"/>
      <c r="E113" s="4"/>
    </row>
    <row r="114" spans="1:5" ht="15.75" customHeight="1" x14ac:dyDescent="0.3">
      <c r="A114" s="4"/>
      <c r="B114" s="4"/>
      <c r="C114" s="4"/>
      <c r="D114" s="4"/>
      <c r="E114" s="4"/>
    </row>
    <row r="115" spans="1:5" ht="15.75" customHeight="1" x14ac:dyDescent="0.3">
      <c r="A115" s="4"/>
      <c r="B115" s="4"/>
      <c r="C115" s="4"/>
      <c r="D115" s="4"/>
      <c r="E115" s="4"/>
    </row>
    <row r="116" spans="1:5" ht="15.75" customHeight="1" x14ac:dyDescent="0.3">
      <c r="A116" s="4"/>
      <c r="B116" s="4"/>
      <c r="C116" s="4"/>
      <c r="D116" s="4"/>
      <c r="E116" s="4"/>
    </row>
    <row r="117" spans="1:5" ht="15.75" customHeight="1" x14ac:dyDescent="0.3">
      <c r="A117" s="4"/>
      <c r="B117" s="4"/>
      <c r="C117" s="4"/>
      <c r="D117" s="4"/>
      <c r="E117" s="4"/>
    </row>
    <row r="118" spans="1:5" ht="15.75" customHeight="1" x14ac:dyDescent="0.3">
      <c r="A118" s="4"/>
      <c r="B118" s="4"/>
      <c r="C118" s="4"/>
      <c r="D118" s="4"/>
      <c r="E118" s="4"/>
    </row>
    <row r="119" spans="1:5" ht="15.75" customHeight="1" x14ac:dyDescent="0.3">
      <c r="A119" s="4"/>
      <c r="B119" s="4"/>
      <c r="C119" s="4"/>
      <c r="D119" s="4"/>
      <c r="E119" s="4"/>
    </row>
    <row r="120" spans="1:5" ht="15.75" customHeight="1" x14ac:dyDescent="0.3">
      <c r="A120" s="4"/>
      <c r="B120" s="4"/>
      <c r="C120" s="4"/>
      <c r="D120" s="4"/>
      <c r="E120" s="4"/>
    </row>
    <row r="121" spans="1:5" ht="15.75" customHeight="1" x14ac:dyDescent="0.3">
      <c r="A121" s="4"/>
      <c r="B121" s="4"/>
      <c r="C121" s="4"/>
      <c r="D121" s="4"/>
      <c r="E121" s="4"/>
    </row>
    <row r="122" spans="1:5" ht="15.75" customHeight="1" x14ac:dyDescent="0.3">
      <c r="A122" s="4"/>
      <c r="B122" s="4"/>
      <c r="C122" s="4"/>
      <c r="D122" s="4"/>
      <c r="E122" s="4"/>
    </row>
    <row r="123" spans="1:5" ht="15.75" customHeight="1" x14ac:dyDescent="0.3">
      <c r="A123" s="4"/>
      <c r="B123" s="4"/>
      <c r="C123" s="4"/>
      <c r="D123" s="4"/>
      <c r="E123" s="4"/>
    </row>
    <row r="124" spans="1:5" ht="15.75" customHeight="1" x14ac:dyDescent="0.3">
      <c r="A124" s="4"/>
      <c r="B124" s="4"/>
      <c r="C124" s="4"/>
      <c r="D124" s="4"/>
      <c r="E124" s="4"/>
    </row>
    <row r="125" spans="1:5" ht="15.75" customHeight="1" x14ac:dyDescent="0.3">
      <c r="A125" s="4"/>
      <c r="B125" s="4"/>
      <c r="C125" s="4"/>
      <c r="D125" s="4"/>
      <c r="E125" s="4"/>
    </row>
    <row r="126" spans="1:5" ht="15.75" customHeight="1" x14ac:dyDescent="0.3">
      <c r="A126" s="4"/>
      <c r="B126" s="4"/>
      <c r="C126" s="4"/>
      <c r="D126" s="4"/>
      <c r="E126" s="4"/>
    </row>
    <row r="127" spans="1:5" ht="15.75" customHeight="1" x14ac:dyDescent="0.3">
      <c r="A127" s="4"/>
      <c r="B127" s="4"/>
      <c r="C127" s="4"/>
      <c r="D127" s="4"/>
      <c r="E127" s="4"/>
    </row>
    <row r="128" spans="1:5" ht="15.75" customHeight="1" x14ac:dyDescent="0.3">
      <c r="A128" s="4"/>
      <c r="B128" s="4"/>
      <c r="C128" s="4"/>
      <c r="D128" s="4"/>
      <c r="E128" s="4"/>
    </row>
    <row r="129" spans="1:5" ht="15.75" customHeight="1" x14ac:dyDescent="0.3">
      <c r="A129" s="4"/>
      <c r="B129" s="4"/>
      <c r="C129" s="4"/>
      <c r="D129" s="4"/>
      <c r="E129" s="4"/>
    </row>
    <row r="130" spans="1:5" ht="15.75" customHeight="1" x14ac:dyDescent="0.3">
      <c r="A130" s="4"/>
      <c r="B130" s="4"/>
      <c r="C130" s="4"/>
      <c r="D130" s="4"/>
      <c r="E130" s="4"/>
    </row>
    <row r="131" spans="1:5" ht="15.75" customHeight="1" x14ac:dyDescent="0.3">
      <c r="A131" s="4"/>
      <c r="B131" s="4"/>
      <c r="C131" s="4"/>
      <c r="D131" s="4"/>
      <c r="E131" s="4"/>
    </row>
    <row r="132" spans="1:5" ht="15.75" customHeight="1" x14ac:dyDescent="0.3">
      <c r="A132" s="4"/>
      <c r="B132" s="4"/>
      <c r="C132" s="4"/>
      <c r="D132" s="4"/>
      <c r="E132" s="4"/>
    </row>
    <row r="133" spans="1:5" ht="15.75" customHeight="1" x14ac:dyDescent="0.3">
      <c r="A133" s="4"/>
      <c r="B133" s="4"/>
      <c r="C133" s="4"/>
      <c r="D133" s="4"/>
      <c r="E133" s="4"/>
    </row>
    <row r="134" spans="1:5" ht="15.75" customHeight="1" x14ac:dyDescent="0.3">
      <c r="A134" s="4"/>
      <c r="B134" s="4"/>
      <c r="C134" s="4"/>
      <c r="D134" s="4"/>
      <c r="E134" s="4"/>
    </row>
    <row r="135" spans="1:5" ht="15.75" customHeight="1" x14ac:dyDescent="0.3">
      <c r="A135" s="4"/>
      <c r="B135" s="4"/>
      <c r="C135" s="4"/>
      <c r="D135" s="4"/>
      <c r="E135" s="4"/>
    </row>
    <row r="136" spans="1:5" ht="15.75" customHeight="1" x14ac:dyDescent="0.3">
      <c r="A136" s="4"/>
      <c r="B136" s="4"/>
      <c r="C136" s="4"/>
      <c r="D136" s="4"/>
      <c r="E136" s="4"/>
    </row>
    <row r="137" spans="1:5" ht="15.75" customHeight="1" x14ac:dyDescent="0.3">
      <c r="A137" s="4"/>
      <c r="B137" s="4"/>
      <c r="C137" s="4"/>
      <c r="D137" s="4"/>
      <c r="E137" s="4"/>
    </row>
    <row r="138" spans="1:5" ht="15.75" customHeight="1" x14ac:dyDescent="0.3">
      <c r="A138" s="4"/>
      <c r="B138" s="4"/>
      <c r="C138" s="4"/>
      <c r="D138" s="4"/>
      <c r="E138" s="4"/>
    </row>
    <row r="139" spans="1:5" ht="15.75" customHeight="1" x14ac:dyDescent="0.3">
      <c r="A139" s="4"/>
      <c r="B139" s="4"/>
      <c r="C139" s="4"/>
      <c r="D139" s="4"/>
      <c r="E139" s="4"/>
    </row>
    <row r="140" spans="1:5" ht="15.75" customHeight="1" x14ac:dyDescent="0.3">
      <c r="A140" s="4"/>
      <c r="B140" s="4"/>
      <c r="C140" s="4"/>
      <c r="D140" s="4"/>
      <c r="E140" s="4"/>
    </row>
    <row r="141" spans="1:5" ht="15.75" customHeight="1" x14ac:dyDescent="0.3">
      <c r="A141" s="4"/>
      <c r="B141" s="4"/>
      <c r="C141" s="4"/>
      <c r="D141" s="4"/>
      <c r="E141" s="4"/>
    </row>
    <row r="142" spans="1:5" ht="15.75" customHeight="1" x14ac:dyDescent="0.3">
      <c r="A142" s="4"/>
      <c r="B142" s="4"/>
      <c r="C142" s="4"/>
      <c r="D142" s="4"/>
      <c r="E142" s="4"/>
    </row>
    <row r="143" spans="1:5" ht="15.75" customHeight="1" x14ac:dyDescent="0.3">
      <c r="A143" s="4"/>
      <c r="B143" s="4"/>
      <c r="C143" s="4"/>
      <c r="D143" s="4"/>
      <c r="E143" s="4"/>
    </row>
    <row r="144" spans="1:5" ht="15.75" customHeight="1" x14ac:dyDescent="0.3">
      <c r="A144" s="4"/>
      <c r="B144" s="4"/>
      <c r="C144" s="4"/>
      <c r="D144" s="4"/>
      <c r="E144" s="4"/>
    </row>
    <row r="145" spans="1:5" ht="15.75" customHeight="1" x14ac:dyDescent="0.3">
      <c r="A145" s="4"/>
      <c r="B145" s="4"/>
      <c r="C145" s="4"/>
      <c r="D145" s="4"/>
      <c r="E145" s="4"/>
    </row>
    <row r="146" spans="1:5" ht="15.75" customHeight="1" x14ac:dyDescent="0.3">
      <c r="A146" s="4"/>
      <c r="B146" s="4"/>
      <c r="C146" s="4"/>
      <c r="D146" s="4"/>
      <c r="E146" s="4"/>
    </row>
    <row r="147" spans="1:5" ht="15.75" customHeight="1" x14ac:dyDescent="0.3">
      <c r="A147" s="4"/>
      <c r="B147" s="4"/>
      <c r="C147" s="4"/>
      <c r="D147" s="4"/>
      <c r="E147" s="4"/>
    </row>
    <row r="148" spans="1:5" ht="15.75" customHeight="1" x14ac:dyDescent="0.3">
      <c r="A148" s="4"/>
      <c r="B148" s="4"/>
      <c r="C148" s="4"/>
      <c r="D148" s="4"/>
      <c r="E148" s="4"/>
    </row>
    <row r="149" spans="1:5" ht="15.75" customHeight="1" x14ac:dyDescent="0.3">
      <c r="A149" s="4"/>
      <c r="B149" s="4"/>
      <c r="C149" s="4"/>
      <c r="D149" s="4"/>
      <c r="E149" s="4"/>
    </row>
    <row r="150" spans="1:5" ht="15.75" customHeight="1" x14ac:dyDescent="0.3">
      <c r="A150" s="4"/>
      <c r="B150" s="4"/>
      <c r="C150" s="4"/>
      <c r="D150" s="4"/>
      <c r="E150" s="4"/>
    </row>
    <row r="151" spans="1:5" ht="15.75" customHeight="1" x14ac:dyDescent="0.3">
      <c r="A151" s="4"/>
      <c r="B151" s="4"/>
      <c r="C151" s="4"/>
      <c r="D151" s="4"/>
      <c r="E151" s="4"/>
    </row>
    <row r="152" spans="1:5" ht="15.75" customHeight="1" x14ac:dyDescent="0.3">
      <c r="A152" s="4"/>
      <c r="B152" s="4"/>
      <c r="C152" s="4"/>
      <c r="D152" s="4"/>
      <c r="E152" s="4"/>
    </row>
    <row r="153" spans="1:5" ht="15.75" customHeight="1" x14ac:dyDescent="0.3">
      <c r="A153" s="4"/>
      <c r="B153" s="4"/>
      <c r="C153" s="4"/>
      <c r="D153" s="4"/>
      <c r="E153" s="4"/>
    </row>
    <row r="154" spans="1:5" ht="15.75" customHeight="1" x14ac:dyDescent="0.3">
      <c r="A154" s="4"/>
      <c r="B154" s="4"/>
      <c r="C154" s="4"/>
      <c r="D154" s="4"/>
      <c r="E154" s="4"/>
    </row>
    <row r="155" spans="1:5" ht="15.75" customHeight="1" x14ac:dyDescent="0.3">
      <c r="A155" s="4"/>
      <c r="B155" s="4"/>
      <c r="C155" s="4"/>
      <c r="D155" s="4"/>
      <c r="E155" s="4"/>
    </row>
    <row r="156" spans="1:5" ht="15.75" customHeight="1" x14ac:dyDescent="0.3">
      <c r="A156" s="4"/>
      <c r="B156" s="4"/>
      <c r="C156" s="4"/>
      <c r="D156" s="4"/>
      <c r="E156" s="4"/>
    </row>
    <row r="157" spans="1:5" ht="15.75" customHeight="1" x14ac:dyDescent="0.3">
      <c r="A157" s="4"/>
      <c r="B157" s="4"/>
      <c r="C157" s="4"/>
      <c r="D157" s="4"/>
      <c r="E157" s="4"/>
    </row>
    <row r="158" spans="1:5" ht="15.75" customHeight="1" x14ac:dyDescent="0.3">
      <c r="A158" s="4"/>
      <c r="B158" s="4"/>
      <c r="C158" s="4"/>
      <c r="D158" s="4"/>
      <c r="E158" s="4"/>
    </row>
    <row r="159" spans="1:5" ht="15.75" customHeight="1" x14ac:dyDescent="0.3">
      <c r="A159" s="4"/>
      <c r="B159" s="4"/>
      <c r="C159" s="4"/>
      <c r="D159" s="4"/>
      <c r="E159" s="4"/>
    </row>
    <row r="160" spans="1:5" ht="15.75" customHeight="1" x14ac:dyDescent="0.3">
      <c r="A160" s="4"/>
      <c r="B160" s="4"/>
      <c r="C160" s="4"/>
      <c r="D160" s="4"/>
      <c r="E160" s="4"/>
    </row>
    <row r="161" spans="1:5" ht="15.75" customHeight="1" x14ac:dyDescent="0.3">
      <c r="A161" s="4"/>
      <c r="B161" s="4"/>
      <c r="C161" s="4"/>
      <c r="D161" s="4"/>
      <c r="E161" s="4"/>
    </row>
    <row r="162" spans="1:5" ht="15.75" customHeight="1" x14ac:dyDescent="0.3">
      <c r="A162" s="4"/>
      <c r="B162" s="4"/>
      <c r="C162" s="4"/>
      <c r="D162" s="4"/>
      <c r="E162" s="4"/>
    </row>
    <row r="163" spans="1:5" ht="15.75" customHeight="1" x14ac:dyDescent="0.3">
      <c r="A163" s="4"/>
      <c r="B163" s="4"/>
      <c r="C163" s="4"/>
      <c r="D163" s="4"/>
      <c r="E163" s="4"/>
    </row>
    <row r="164" spans="1:5" ht="15.75" customHeight="1" x14ac:dyDescent="0.3">
      <c r="A164" s="4"/>
      <c r="B164" s="4"/>
      <c r="C164" s="4"/>
      <c r="D164" s="4"/>
      <c r="E164" s="4"/>
    </row>
    <row r="165" spans="1:5" ht="15.75" customHeight="1" x14ac:dyDescent="0.3">
      <c r="A165" s="4"/>
      <c r="B165" s="4"/>
      <c r="C165" s="4"/>
      <c r="D165" s="4"/>
      <c r="E165" s="4"/>
    </row>
    <row r="166" spans="1:5" ht="15.75" customHeight="1" x14ac:dyDescent="0.3">
      <c r="A166" s="4"/>
      <c r="B166" s="4"/>
      <c r="C166" s="4"/>
      <c r="D166" s="4"/>
      <c r="E166" s="4"/>
    </row>
    <row r="167" spans="1:5" ht="15.75" customHeight="1" x14ac:dyDescent="0.3">
      <c r="A167" s="4"/>
      <c r="B167" s="4"/>
      <c r="C167" s="4"/>
      <c r="D167" s="4"/>
      <c r="E167" s="4"/>
    </row>
    <row r="168" spans="1:5" ht="15.75" customHeight="1" x14ac:dyDescent="0.3">
      <c r="A168" s="4"/>
      <c r="B168" s="4"/>
      <c r="C168" s="4"/>
      <c r="D168" s="4"/>
      <c r="E168" s="4"/>
    </row>
    <row r="169" spans="1:5" ht="15.75" customHeight="1" x14ac:dyDescent="0.3">
      <c r="A169" s="4"/>
      <c r="B169" s="4"/>
      <c r="C169" s="4"/>
      <c r="D169" s="4"/>
      <c r="E169" s="4"/>
    </row>
    <row r="170" spans="1:5" ht="15.75" customHeight="1" x14ac:dyDescent="0.3">
      <c r="A170" s="4"/>
      <c r="B170" s="4"/>
      <c r="C170" s="4"/>
      <c r="D170" s="4"/>
      <c r="E170" s="4"/>
    </row>
    <row r="171" spans="1:5" ht="15.75" customHeight="1" x14ac:dyDescent="0.3">
      <c r="A171" s="4"/>
      <c r="B171" s="4"/>
      <c r="C171" s="4"/>
      <c r="D171" s="4"/>
      <c r="E171" s="4"/>
    </row>
    <row r="172" spans="1:5" ht="15.75" customHeight="1" x14ac:dyDescent="0.3">
      <c r="A172" s="4"/>
      <c r="B172" s="4"/>
      <c r="C172" s="4"/>
      <c r="D172" s="4"/>
      <c r="E172" s="4"/>
    </row>
    <row r="173" spans="1:5" ht="15.75" customHeight="1" x14ac:dyDescent="0.3">
      <c r="A173" s="4"/>
      <c r="B173" s="4"/>
      <c r="C173" s="4"/>
      <c r="D173" s="4"/>
      <c r="E173" s="4"/>
    </row>
    <row r="174" spans="1:5" ht="15.75" customHeight="1" x14ac:dyDescent="0.3">
      <c r="A174" s="4"/>
      <c r="B174" s="4"/>
      <c r="C174" s="4"/>
      <c r="D174" s="4"/>
      <c r="E174" s="4"/>
    </row>
    <row r="175" spans="1:5" ht="15.75" customHeight="1" x14ac:dyDescent="0.3">
      <c r="A175" s="4"/>
      <c r="B175" s="4"/>
      <c r="C175" s="4"/>
      <c r="D175" s="4"/>
      <c r="E175" s="4"/>
    </row>
    <row r="176" spans="1:5" ht="15.75" customHeight="1" x14ac:dyDescent="0.3">
      <c r="A176" s="4"/>
      <c r="B176" s="4"/>
      <c r="C176" s="4"/>
      <c r="D176" s="4"/>
      <c r="E176" s="4"/>
    </row>
    <row r="177" spans="1:5" ht="15.75" customHeight="1" x14ac:dyDescent="0.3">
      <c r="A177" s="4"/>
      <c r="B177" s="4"/>
      <c r="C177" s="4"/>
      <c r="D177" s="4"/>
      <c r="E177" s="4"/>
    </row>
    <row r="178" spans="1:5" ht="15.75" customHeight="1" x14ac:dyDescent="0.3">
      <c r="A178" s="4"/>
      <c r="B178" s="4"/>
      <c r="C178" s="4"/>
      <c r="D178" s="4"/>
      <c r="E178" s="4"/>
    </row>
    <row r="179" spans="1:5" ht="15.75" customHeight="1" x14ac:dyDescent="0.3">
      <c r="A179" s="4"/>
      <c r="B179" s="4"/>
      <c r="C179" s="4"/>
      <c r="D179" s="4"/>
      <c r="E179" s="4"/>
    </row>
    <row r="180" spans="1:5" ht="15.75" customHeight="1" x14ac:dyDescent="0.3">
      <c r="A180" s="4"/>
      <c r="B180" s="4"/>
      <c r="C180" s="4"/>
      <c r="D180" s="4"/>
      <c r="E180" s="4"/>
    </row>
    <row r="181" spans="1:5" ht="15.75" customHeight="1" x14ac:dyDescent="0.3">
      <c r="A181" s="4"/>
      <c r="B181" s="4"/>
      <c r="C181" s="4"/>
      <c r="D181" s="4"/>
      <c r="E181" s="4"/>
    </row>
    <row r="182" spans="1:5" ht="15.75" customHeight="1" x14ac:dyDescent="0.3">
      <c r="A182" s="4"/>
      <c r="B182" s="4"/>
      <c r="C182" s="4"/>
      <c r="D182" s="4"/>
      <c r="E182" s="4"/>
    </row>
    <row r="183" spans="1:5" ht="15.75" customHeight="1" x14ac:dyDescent="0.3">
      <c r="A183" s="4"/>
      <c r="B183" s="4"/>
      <c r="C183" s="4"/>
      <c r="D183" s="4"/>
      <c r="E183" s="4"/>
    </row>
    <row r="184" spans="1:5" ht="15.75" customHeight="1" x14ac:dyDescent="0.3">
      <c r="A184" s="4"/>
      <c r="B184" s="4"/>
      <c r="C184" s="4"/>
      <c r="D184" s="4"/>
      <c r="E184" s="4"/>
    </row>
    <row r="185" spans="1:5" ht="15.75" customHeight="1" x14ac:dyDescent="0.3">
      <c r="A185" s="4"/>
      <c r="B185" s="4"/>
      <c r="C185" s="4"/>
      <c r="D185" s="4"/>
      <c r="E185" s="4"/>
    </row>
    <row r="186" spans="1:5" ht="15.75" customHeight="1" x14ac:dyDescent="0.3">
      <c r="A186" s="4"/>
      <c r="B186" s="4"/>
      <c r="C186" s="4"/>
      <c r="D186" s="4"/>
      <c r="E186" s="4"/>
    </row>
    <row r="187" spans="1:5" ht="15.75" customHeight="1" x14ac:dyDescent="0.3">
      <c r="A187" s="4"/>
      <c r="B187" s="4"/>
      <c r="C187" s="4"/>
      <c r="D187" s="4"/>
      <c r="E187" s="4"/>
    </row>
    <row r="188" spans="1:5" ht="15.75" customHeight="1" x14ac:dyDescent="0.3">
      <c r="A188" s="4"/>
      <c r="B188" s="4"/>
      <c r="C188" s="4"/>
      <c r="D188" s="4"/>
      <c r="E188" s="4"/>
    </row>
    <row r="189" spans="1:5" ht="15.75" customHeight="1" x14ac:dyDescent="0.3">
      <c r="A189" s="4"/>
      <c r="B189" s="4"/>
      <c r="C189" s="4"/>
      <c r="D189" s="4"/>
      <c r="E189" s="4"/>
    </row>
    <row r="190" spans="1:5" ht="15.75" customHeight="1" x14ac:dyDescent="0.3">
      <c r="A190" s="4"/>
      <c r="B190" s="4"/>
      <c r="C190" s="4"/>
      <c r="D190" s="4"/>
      <c r="E190" s="4"/>
    </row>
    <row r="191" spans="1:5" ht="15.75" customHeight="1" x14ac:dyDescent="0.3">
      <c r="A191" s="4"/>
      <c r="B191" s="4"/>
      <c r="C191" s="4"/>
      <c r="D191" s="4"/>
      <c r="E191" s="4"/>
    </row>
    <row r="192" spans="1:5" ht="15.75" customHeight="1" x14ac:dyDescent="0.3">
      <c r="A192" s="4"/>
      <c r="B192" s="4"/>
      <c r="C192" s="4"/>
      <c r="D192" s="4"/>
      <c r="E192" s="4"/>
    </row>
    <row r="193" spans="1:5" ht="15.75" customHeight="1" x14ac:dyDescent="0.3">
      <c r="A193" s="4"/>
      <c r="B193" s="4"/>
      <c r="C193" s="4"/>
      <c r="D193" s="4"/>
      <c r="E193" s="4"/>
    </row>
    <row r="194" spans="1:5" ht="15.75" customHeight="1" x14ac:dyDescent="0.3">
      <c r="A194" s="4"/>
      <c r="B194" s="4"/>
      <c r="C194" s="4"/>
      <c r="D194" s="4"/>
      <c r="E194" s="4"/>
    </row>
    <row r="195" spans="1:5" ht="15.75" customHeight="1" x14ac:dyDescent="0.3">
      <c r="A195" s="4"/>
      <c r="B195" s="4"/>
      <c r="C195" s="4"/>
      <c r="D195" s="4"/>
      <c r="E195" s="4"/>
    </row>
    <row r="196" spans="1:5" ht="15.75" customHeight="1" x14ac:dyDescent="0.3">
      <c r="A196" s="4"/>
      <c r="B196" s="4"/>
      <c r="C196" s="4"/>
      <c r="D196" s="4"/>
      <c r="E196" s="4"/>
    </row>
    <row r="197" spans="1:5" ht="15.75" customHeight="1" x14ac:dyDescent="0.3">
      <c r="A197" s="4"/>
      <c r="B197" s="4"/>
      <c r="C197" s="4"/>
      <c r="D197" s="4"/>
      <c r="E197" s="4"/>
    </row>
    <row r="198" spans="1:5" ht="15.75" customHeight="1" x14ac:dyDescent="0.3">
      <c r="A198" s="4"/>
      <c r="B198" s="4"/>
      <c r="C198" s="4"/>
      <c r="D198" s="4"/>
      <c r="E198" s="4"/>
    </row>
    <row r="199" spans="1:5" ht="15.75" customHeight="1" x14ac:dyDescent="0.3">
      <c r="A199" s="4"/>
      <c r="B199" s="4"/>
      <c r="C199" s="4"/>
      <c r="D199" s="4"/>
      <c r="E199" s="4"/>
    </row>
    <row r="200" spans="1:5" ht="15.75" customHeight="1" x14ac:dyDescent="0.3">
      <c r="A200" s="4"/>
      <c r="B200" s="4"/>
      <c r="C200" s="4"/>
      <c r="D200" s="4"/>
      <c r="E200" s="4"/>
    </row>
    <row r="201" spans="1:5" ht="15.75" customHeight="1" x14ac:dyDescent="0.3">
      <c r="A201" s="4"/>
      <c r="B201" s="4"/>
      <c r="C201" s="4"/>
      <c r="D201" s="4"/>
      <c r="E201" s="4"/>
    </row>
    <row r="202" spans="1:5" ht="15.75" customHeight="1" x14ac:dyDescent="0.3">
      <c r="A202" s="4"/>
      <c r="B202" s="4"/>
      <c r="C202" s="4"/>
      <c r="D202" s="4"/>
      <c r="E202" s="4"/>
    </row>
    <row r="203" spans="1:5" ht="15.75" customHeight="1" x14ac:dyDescent="0.3">
      <c r="A203" s="4"/>
      <c r="B203" s="4"/>
      <c r="C203" s="4"/>
      <c r="D203" s="4"/>
      <c r="E203" s="4"/>
    </row>
    <row r="204" spans="1:5" ht="15.75" customHeight="1" x14ac:dyDescent="0.3">
      <c r="A204" s="4"/>
      <c r="B204" s="4"/>
      <c r="C204" s="4"/>
      <c r="D204" s="4"/>
      <c r="E204" s="4"/>
    </row>
    <row r="205" spans="1:5" ht="15.75" customHeight="1" x14ac:dyDescent="0.3">
      <c r="A205" s="4"/>
      <c r="B205" s="4"/>
      <c r="C205" s="4"/>
      <c r="D205" s="4"/>
      <c r="E205" s="4"/>
    </row>
    <row r="206" spans="1:5" ht="15.75" customHeight="1" x14ac:dyDescent="0.3">
      <c r="A206" s="4"/>
      <c r="B206" s="4"/>
      <c r="C206" s="4"/>
      <c r="D206" s="4"/>
      <c r="E206" s="4"/>
    </row>
    <row r="207" spans="1:5" ht="15.75" customHeight="1" x14ac:dyDescent="0.3">
      <c r="A207" s="4"/>
      <c r="B207" s="4"/>
      <c r="C207" s="4"/>
      <c r="D207" s="4"/>
      <c r="E207" s="4"/>
    </row>
    <row r="208" spans="1:5" ht="15.75" customHeight="1" x14ac:dyDescent="0.3">
      <c r="A208" s="4"/>
      <c r="B208" s="4"/>
      <c r="C208" s="4"/>
      <c r="D208" s="4"/>
      <c r="E208" s="4"/>
    </row>
    <row r="209" spans="1:5" ht="15.75" customHeight="1" x14ac:dyDescent="0.3">
      <c r="A209" s="4"/>
      <c r="B209" s="4"/>
      <c r="C209" s="4"/>
      <c r="D209" s="4"/>
      <c r="E209" s="4"/>
    </row>
    <row r="210" spans="1:5" ht="15.75" customHeight="1" x14ac:dyDescent="0.3">
      <c r="A210" s="4"/>
      <c r="B210" s="4"/>
      <c r="C210" s="4"/>
      <c r="D210" s="4"/>
      <c r="E210" s="4"/>
    </row>
    <row r="211" spans="1:5" ht="15.75" customHeight="1" x14ac:dyDescent="0.3">
      <c r="A211" s="4"/>
      <c r="B211" s="4"/>
      <c r="C211" s="4"/>
      <c r="D211" s="4"/>
      <c r="E211" s="4"/>
    </row>
    <row r="212" spans="1:5" ht="15.75" customHeight="1" x14ac:dyDescent="0.3">
      <c r="A212" s="4"/>
      <c r="B212" s="4"/>
      <c r="C212" s="4"/>
      <c r="D212" s="4"/>
      <c r="E212" s="4"/>
    </row>
    <row r="213" spans="1:5" ht="15.75" customHeight="1" x14ac:dyDescent="0.3">
      <c r="A213" s="4"/>
      <c r="B213" s="4"/>
      <c r="C213" s="4"/>
      <c r="D213" s="4"/>
      <c r="E213" s="4"/>
    </row>
    <row r="214" spans="1:5" ht="15.75" customHeight="1" x14ac:dyDescent="0.3">
      <c r="A214" s="4"/>
      <c r="B214" s="4"/>
      <c r="C214" s="4"/>
      <c r="D214" s="4"/>
      <c r="E214" s="4"/>
    </row>
    <row r="215" spans="1:5" ht="15.75" customHeight="1" x14ac:dyDescent="0.3">
      <c r="A215" s="4"/>
      <c r="B215" s="4"/>
      <c r="C215" s="4"/>
      <c r="D215" s="4"/>
      <c r="E215" s="4"/>
    </row>
    <row r="216" spans="1:5" ht="15.75" customHeight="1" x14ac:dyDescent="0.3">
      <c r="A216" s="4"/>
      <c r="B216" s="4"/>
      <c r="C216" s="4"/>
      <c r="D216" s="4"/>
      <c r="E216" s="4"/>
    </row>
    <row r="217" spans="1:5" ht="15.75" customHeight="1" x14ac:dyDescent="0.3">
      <c r="A217" s="4"/>
      <c r="B217" s="4"/>
      <c r="C217" s="4"/>
      <c r="D217" s="4"/>
      <c r="E217" s="4"/>
    </row>
    <row r="218" spans="1:5" ht="15.75" customHeight="1" x14ac:dyDescent="0.3">
      <c r="A218" s="4"/>
      <c r="B218" s="4"/>
      <c r="C218" s="4"/>
      <c r="D218" s="4"/>
      <c r="E218" s="4"/>
    </row>
    <row r="219" spans="1:5" ht="15.75" customHeight="1" x14ac:dyDescent="0.3">
      <c r="A219" s="4"/>
      <c r="B219" s="4"/>
      <c r="C219" s="4"/>
      <c r="D219" s="4"/>
      <c r="E219" s="4"/>
    </row>
    <row r="220" spans="1:5" ht="15.75" customHeight="1" x14ac:dyDescent="0.3">
      <c r="A220" s="4"/>
      <c r="B220" s="4"/>
      <c r="C220" s="4"/>
      <c r="D220" s="4"/>
      <c r="E220" s="4"/>
    </row>
    <row r="221" spans="1:5" ht="15.75" customHeight="1" x14ac:dyDescent="0.3">
      <c r="A221" s="4"/>
      <c r="B221" s="4"/>
      <c r="C221" s="4"/>
      <c r="D221" s="4"/>
      <c r="E221" s="4"/>
    </row>
    <row r="222" spans="1:5" ht="15.75" customHeight="1" x14ac:dyDescent="0.3">
      <c r="A222" s="4"/>
      <c r="B222" s="4"/>
      <c r="C222" s="4"/>
      <c r="D222" s="4"/>
      <c r="E222" s="4"/>
    </row>
    <row r="223" spans="1:5" ht="15.75" customHeight="1" x14ac:dyDescent="0.3">
      <c r="A223" s="4"/>
      <c r="B223" s="4"/>
      <c r="C223" s="4"/>
      <c r="D223" s="4"/>
      <c r="E223" s="4"/>
    </row>
    <row r="224" spans="1:5" ht="15.75" customHeight="1" x14ac:dyDescent="0.3">
      <c r="A224" s="4"/>
      <c r="B224" s="4"/>
      <c r="C224" s="4"/>
      <c r="D224" s="4"/>
      <c r="E224" s="4"/>
    </row>
    <row r="225" spans="1:5" ht="15.75" customHeight="1" x14ac:dyDescent="0.3">
      <c r="A225" s="4"/>
      <c r="B225" s="4"/>
      <c r="C225" s="4"/>
      <c r="D225" s="4"/>
      <c r="E225" s="4"/>
    </row>
    <row r="226" spans="1:5" ht="15.75" customHeight="1" x14ac:dyDescent="0.3">
      <c r="A226" s="4"/>
      <c r="B226" s="4"/>
      <c r="C226" s="4"/>
      <c r="D226" s="4"/>
      <c r="E226" s="4"/>
    </row>
    <row r="227" spans="1:5" ht="15.75" customHeight="1" x14ac:dyDescent="0.3">
      <c r="A227" s="4"/>
      <c r="B227" s="4"/>
      <c r="C227" s="4"/>
      <c r="D227" s="4"/>
      <c r="E227" s="4"/>
    </row>
    <row r="228" spans="1:5" ht="15.75" customHeight="1" x14ac:dyDescent="0.3">
      <c r="A228" s="4"/>
      <c r="B228" s="4"/>
      <c r="C228" s="4"/>
      <c r="D228" s="4"/>
      <c r="E228" s="4"/>
    </row>
    <row r="229" spans="1:5" ht="15.75" customHeight="1" x14ac:dyDescent="0.3">
      <c r="A229" s="4"/>
      <c r="B229" s="4"/>
      <c r="C229" s="4"/>
      <c r="D229" s="4"/>
      <c r="E229" s="4"/>
    </row>
    <row r="230" spans="1:5" ht="15.75" customHeight="1" x14ac:dyDescent="0.3">
      <c r="A230" s="4"/>
      <c r="B230" s="4"/>
      <c r="C230" s="4"/>
      <c r="D230" s="4"/>
      <c r="E230" s="4"/>
    </row>
    <row r="231" spans="1:5" ht="15.75" customHeight="1" x14ac:dyDescent="0.3">
      <c r="A231" s="4"/>
      <c r="B231" s="4"/>
      <c r="C231" s="4"/>
      <c r="D231" s="4"/>
      <c r="E231" s="4"/>
    </row>
    <row r="232" spans="1:5" ht="15.75" customHeight="1" x14ac:dyDescent="0.3">
      <c r="A232" s="4"/>
      <c r="B232" s="4"/>
      <c r="C232" s="4"/>
      <c r="D232" s="4"/>
      <c r="E232" s="4"/>
    </row>
    <row r="233" spans="1:5" ht="15.75" customHeight="1" x14ac:dyDescent="0.3">
      <c r="A233" s="4"/>
      <c r="B233" s="4"/>
      <c r="C233" s="4"/>
      <c r="D233" s="4"/>
      <c r="E233" s="4"/>
    </row>
    <row r="234" spans="1:5" ht="15.75" customHeight="1" x14ac:dyDescent="0.3">
      <c r="A234" s="4"/>
      <c r="B234" s="4"/>
      <c r="C234" s="4"/>
      <c r="D234" s="4"/>
      <c r="E234" s="4"/>
    </row>
    <row r="235" spans="1:5" ht="15.75" customHeight="1" x14ac:dyDescent="0.3">
      <c r="A235" s="4"/>
      <c r="B235" s="4"/>
      <c r="C235" s="4"/>
      <c r="D235" s="4"/>
      <c r="E235" s="4"/>
    </row>
    <row r="236" spans="1:5" ht="15.75" customHeight="1" x14ac:dyDescent="0.3">
      <c r="A236" s="4"/>
      <c r="B236" s="4"/>
      <c r="C236" s="4"/>
      <c r="D236" s="4"/>
      <c r="E236" s="4"/>
    </row>
    <row r="237" spans="1:5" ht="15.75" customHeight="1" x14ac:dyDescent="0.3">
      <c r="A237" s="4"/>
      <c r="B237" s="4"/>
      <c r="C237" s="4"/>
      <c r="D237" s="4"/>
      <c r="E237" s="4"/>
    </row>
    <row r="238" spans="1:5" ht="15.75" customHeight="1" x14ac:dyDescent="0.3">
      <c r="A238" s="4"/>
      <c r="B238" s="4"/>
      <c r="C238" s="4"/>
      <c r="D238" s="4"/>
      <c r="E238" s="4"/>
    </row>
    <row r="239" spans="1:5" ht="15.75" customHeight="1" x14ac:dyDescent="0.3">
      <c r="A239" s="4"/>
      <c r="B239" s="4"/>
      <c r="C239" s="4"/>
      <c r="D239" s="4"/>
      <c r="E239" s="4"/>
    </row>
    <row r="240" spans="1:5" ht="15.75" customHeight="1" x14ac:dyDescent="0.3">
      <c r="A240" s="4"/>
      <c r="B240" s="4"/>
      <c r="C240" s="4"/>
      <c r="D240" s="4"/>
      <c r="E240" s="4"/>
    </row>
    <row r="241" spans="1:5" ht="15.75" customHeight="1" x14ac:dyDescent="0.3">
      <c r="A241" s="4"/>
      <c r="B241" s="4"/>
      <c r="C241" s="4"/>
      <c r="D241" s="4"/>
      <c r="E241" s="4"/>
    </row>
    <row r="242" spans="1:5" ht="15.75" customHeight="1" x14ac:dyDescent="0.3">
      <c r="A242" s="4"/>
      <c r="B242" s="4"/>
      <c r="C242" s="4"/>
      <c r="D242" s="4"/>
      <c r="E242" s="4"/>
    </row>
    <row r="243" spans="1:5" ht="15.75" customHeight="1" x14ac:dyDescent="0.3">
      <c r="A243" s="4"/>
      <c r="B243" s="4"/>
      <c r="C243" s="4"/>
      <c r="D243" s="4"/>
      <c r="E243" s="4"/>
    </row>
    <row r="244" spans="1:5" ht="15.75" customHeight="1" x14ac:dyDescent="0.3">
      <c r="A244" s="4"/>
      <c r="B244" s="4"/>
      <c r="C244" s="4"/>
      <c r="D244" s="4"/>
      <c r="E244" s="4"/>
    </row>
    <row r="245" spans="1:5" ht="15.75" customHeight="1" x14ac:dyDescent="0.3">
      <c r="A245" s="4"/>
      <c r="B245" s="4"/>
      <c r="C245" s="4"/>
      <c r="D245" s="4"/>
      <c r="E245" s="4"/>
    </row>
    <row r="246" spans="1:5" ht="15.75" customHeight="1" x14ac:dyDescent="0.3">
      <c r="A246" s="4"/>
      <c r="B246" s="4"/>
      <c r="C246" s="4"/>
      <c r="D246" s="4"/>
      <c r="E246" s="4"/>
    </row>
    <row r="247" spans="1:5" ht="15.75" customHeight="1" x14ac:dyDescent="0.3">
      <c r="A247" s="4"/>
      <c r="B247" s="4"/>
      <c r="C247" s="4"/>
      <c r="D247" s="4"/>
      <c r="E247" s="4"/>
    </row>
    <row r="248" spans="1:5" ht="15.75" customHeight="1" x14ac:dyDescent="0.3">
      <c r="A248" s="4"/>
      <c r="B248" s="4"/>
      <c r="C248" s="4"/>
      <c r="D248" s="4"/>
      <c r="E248" s="4"/>
    </row>
    <row r="249" spans="1:5" ht="15.75" customHeight="1" x14ac:dyDescent="0.3">
      <c r="A249" s="4"/>
      <c r="B249" s="4"/>
      <c r="C249" s="4"/>
      <c r="D249" s="4"/>
      <c r="E249" s="4"/>
    </row>
    <row r="250" spans="1:5" ht="15.75" customHeight="1" x14ac:dyDescent="0.3">
      <c r="A250" s="4"/>
      <c r="B250" s="4"/>
      <c r="C250" s="4"/>
      <c r="D250" s="4"/>
      <c r="E250" s="4"/>
    </row>
    <row r="251" spans="1:5" ht="15.75" customHeight="1" x14ac:dyDescent="0.3">
      <c r="A251" s="4"/>
      <c r="B251" s="4"/>
      <c r="C251" s="4"/>
      <c r="D251" s="4"/>
      <c r="E251" s="4"/>
    </row>
    <row r="252" spans="1:5" ht="15.75" customHeight="1" x14ac:dyDescent="0.3">
      <c r="A252" s="4"/>
      <c r="B252" s="4"/>
      <c r="C252" s="4"/>
      <c r="D252" s="4"/>
      <c r="E252" s="4"/>
    </row>
    <row r="253" spans="1:5" ht="15.75" customHeight="1" x14ac:dyDescent="0.3">
      <c r="A253" s="4"/>
      <c r="B253" s="4"/>
      <c r="C253" s="4"/>
      <c r="D253" s="4"/>
      <c r="E253" s="4"/>
    </row>
    <row r="254" spans="1:5" ht="15.75" customHeight="1" x14ac:dyDescent="0.3">
      <c r="A254" s="4"/>
      <c r="B254" s="4"/>
      <c r="C254" s="4"/>
      <c r="D254" s="4"/>
      <c r="E254" s="4"/>
    </row>
    <row r="255" spans="1:5" ht="15.75" customHeight="1" x14ac:dyDescent="0.3">
      <c r="A255" s="4"/>
      <c r="B255" s="4"/>
      <c r="C255" s="4"/>
      <c r="D255" s="4"/>
      <c r="E255" s="4"/>
    </row>
    <row r="256" spans="1:5" ht="15.75" customHeight="1" x14ac:dyDescent="0.3">
      <c r="A256" s="4"/>
      <c r="B256" s="4"/>
      <c r="C256" s="4"/>
      <c r="D256" s="4"/>
      <c r="E256" s="4"/>
    </row>
    <row r="257" spans="1:5" ht="15.75" customHeight="1" x14ac:dyDescent="0.3">
      <c r="A257" s="4"/>
      <c r="B257" s="4"/>
      <c r="C257" s="4"/>
      <c r="D257" s="4"/>
      <c r="E257" s="4"/>
    </row>
    <row r="258" spans="1:5" ht="15.75" customHeight="1" x14ac:dyDescent="0.3">
      <c r="A258" s="4"/>
      <c r="B258" s="4"/>
      <c r="C258" s="4"/>
      <c r="D258" s="4"/>
      <c r="E258" s="4"/>
    </row>
    <row r="259" spans="1:5" ht="15.75" customHeight="1" x14ac:dyDescent="0.3">
      <c r="A259" s="4"/>
      <c r="B259" s="4"/>
      <c r="C259" s="4"/>
      <c r="D259" s="4"/>
      <c r="E259" s="4"/>
    </row>
    <row r="260" spans="1:5" ht="15.75" customHeight="1" x14ac:dyDescent="0.3">
      <c r="A260" s="4"/>
      <c r="B260" s="4"/>
      <c r="C260" s="4"/>
      <c r="D260" s="4"/>
      <c r="E260" s="4"/>
    </row>
    <row r="261" spans="1:5" ht="15.75" customHeight="1" x14ac:dyDescent="0.3">
      <c r="A261" s="4"/>
      <c r="B261" s="4"/>
      <c r="C261" s="4"/>
      <c r="D261" s="4"/>
      <c r="E261" s="4"/>
    </row>
    <row r="262" spans="1:5" ht="15.75" customHeight="1" x14ac:dyDescent="0.3">
      <c r="A262" s="4"/>
      <c r="B262" s="4"/>
      <c r="C262" s="4"/>
      <c r="D262" s="4"/>
      <c r="E262" s="4"/>
    </row>
    <row r="263" spans="1:5" ht="15.75" customHeight="1" x14ac:dyDescent="0.3">
      <c r="A263" s="4"/>
      <c r="B263" s="4"/>
      <c r="C263" s="4"/>
      <c r="D263" s="4"/>
      <c r="E263" s="4"/>
    </row>
    <row r="264" spans="1:5" ht="15.75" customHeight="1" x14ac:dyDescent="0.3">
      <c r="A264" s="4"/>
      <c r="B264" s="4"/>
      <c r="C264" s="4"/>
      <c r="D264" s="4"/>
      <c r="E264" s="4"/>
    </row>
    <row r="265" spans="1:5" ht="15.75" customHeight="1" x14ac:dyDescent="0.3">
      <c r="A265" s="4"/>
      <c r="B265" s="4"/>
      <c r="C265" s="4"/>
      <c r="D265" s="4"/>
      <c r="E265" s="4"/>
    </row>
    <row r="266" spans="1:5" ht="15.75" customHeight="1" x14ac:dyDescent="0.3">
      <c r="A266" s="4"/>
      <c r="B266" s="4"/>
      <c r="C266" s="4"/>
      <c r="D266" s="4"/>
      <c r="E266" s="4"/>
    </row>
    <row r="267" spans="1:5" ht="15.75" customHeight="1" x14ac:dyDescent="0.3">
      <c r="A267" s="4"/>
      <c r="B267" s="4"/>
      <c r="C267" s="4"/>
      <c r="D267" s="4"/>
      <c r="E267" s="4"/>
    </row>
    <row r="268" spans="1:5" ht="15.75" customHeight="1" x14ac:dyDescent="0.3">
      <c r="A268" s="4"/>
      <c r="B268" s="4"/>
      <c r="C268" s="4"/>
      <c r="D268" s="4"/>
      <c r="E268" s="4"/>
    </row>
    <row r="269" spans="1:5" ht="15.75" customHeight="1" x14ac:dyDescent="0.3">
      <c r="A269" s="4"/>
      <c r="B269" s="4"/>
      <c r="C269" s="4"/>
      <c r="D269" s="4"/>
      <c r="E269" s="4"/>
    </row>
    <row r="270" spans="1:5" ht="15.75" customHeight="1" x14ac:dyDescent="0.3">
      <c r="A270" s="4"/>
      <c r="B270" s="4"/>
      <c r="C270" s="4"/>
      <c r="D270" s="4"/>
      <c r="E270" s="4"/>
    </row>
    <row r="271" spans="1:5" ht="15.75" customHeight="1" x14ac:dyDescent="0.3">
      <c r="A271" s="4"/>
      <c r="B271" s="4"/>
      <c r="C271" s="4"/>
      <c r="D271" s="4"/>
      <c r="E271" s="4"/>
    </row>
    <row r="272" spans="1:5" ht="15.75" customHeight="1" x14ac:dyDescent="0.3">
      <c r="A272" s="4"/>
      <c r="B272" s="4"/>
      <c r="C272" s="4"/>
      <c r="D272" s="4"/>
      <c r="E272" s="4"/>
    </row>
    <row r="273" spans="1:5" ht="15.75" customHeight="1" x14ac:dyDescent="0.3">
      <c r="A273" s="4"/>
      <c r="B273" s="4"/>
      <c r="C273" s="4"/>
      <c r="D273" s="4"/>
      <c r="E273" s="4"/>
    </row>
    <row r="274" spans="1:5" ht="15.75" customHeight="1" x14ac:dyDescent="0.3">
      <c r="A274" s="4"/>
      <c r="B274" s="4"/>
      <c r="C274" s="4"/>
      <c r="D274" s="4"/>
      <c r="E274" s="4"/>
    </row>
    <row r="275" spans="1:5" ht="15.75" customHeight="1" x14ac:dyDescent="0.3">
      <c r="A275" s="4"/>
      <c r="B275" s="4"/>
      <c r="C275" s="4"/>
      <c r="D275" s="4"/>
      <c r="E275" s="4"/>
    </row>
    <row r="276" spans="1:5" ht="15.75" customHeight="1" x14ac:dyDescent="0.3">
      <c r="A276" s="4"/>
      <c r="B276" s="4"/>
      <c r="C276" s="4"/>
      <c r="D276" s="4"/>
      <c r="E276" s="4"/>
    </row>
    <row r="277" spans="1:5" ht="15.75" customHeight="1" x14ac:dyDescent="0.3">
      <c r="A277" s="4"/>
      <c r="B277" s="4"/>
      <c r="C277" s="4"/>
      <c r="D277" s="4"/>
      <c r="E277" s="4"/>
    </row>
    <row r="278" spans="1:5" ht="15.75" customHeight="1" x14ac:dyDescent="0.3">
      <c r="A278" s="4"/>
      <c r="B278" s="4"/>
      <c r="C278" s="4"/>
      <c r="D278" s="4"/>
      <c r="E278" s="4"/>
    </row>
    <row r="279" spans="1:5" ht="15.75" customHeight="1" x14ac:dyDescent="0.3">
      <c r="A279" s="4"/>
      <c r="B279" s="4"/>
      <c r="C279" s="4"/>
      <c r="D279" s="4"/>
      <c r="E279" s="4"/>
    </row>
    <row r="280" spans="1:5" ht="15.75" customHeight="1" x14ac:dyDescent="0.3">
      <c r="A280" s="4"/>
      <c r="B280" s="4"/>
      <c r="C280" s="4"/>
      <c r="D280" s="4"/>
      <c r="E280" s="4"/>
    </row>
    <row r="281" spans="1:5" ht="15.75" customHeight="1" x14ac:dyDescent="0.3">
      <c r="A281" s="4"/>
      <c r="B281" s="4"/>
      <c r="C281" s="4"/>
      <c r="D281" s="4"/>
      <c r="E281" s="4"/>
    </row>
    <row r="282" spans="1:5" ht="15.75" customHeight="1" x14ac:dyDescent="0.3">
      <c r="A282" s="4"/>
      <c r="B282" s="4"/>
      <c r="C282" s="4"/>
      <c r="D282" s="4"/>
      <c r="E282" s="4"/>
    </row>
    <row r="283" spans="1:5" ht="15.75" customHeight="1" x14ac:dyDescent="0.3">
      <c r="A283" s="4"/>
      <c r="B283" s="4"/>
      <c r="C283" s="4"/>
      <c r="D283" s="4"/>
      <c r="E283" s="4"/>
    </row>
    <row r="284" spans="1:5" ht="15.75" customHeight="1" x14ac:dyDescent="0.3">
      <c r="A284" s="4"/>
      <c r="B284" s="4"/>
      <c r="C284" s="4"/>
      <c r="D284" s="4"/>
      <c r="E284" s="4"/>
    </row>
    <row r="285" spans="1:5" ht="15.75" customHeight="1" x14ac:dyDescent="0.3">
      <c r="A285" s="4"/>
      <c r="B285" s="4"/>
      <c r="C285" s="4"/>
      <c r="D285" s="4"/>
      <c r="E285" s="4"/>
    </row>
    <row r="286" spans="1:5" ht="15.75" customHeight="1" x14ac:dyDescent="0.3">
      <c r="A286" s="4"/>
      <c r="B286" s="4"/>
      <c r="C286" s="4"/>
      <c r="D286" s="4"/>
      <c r="E286" s="4"/>
    </row>
    <row r="287" spans="1:5" ht="15.75" customHeight="1" x14ac:dyDescent="0.3">
      <c r="A287" s="4"/>
      <c r="B287" s="4"/>
      <c r="C287" s="4"/>
      <c r="D287" s="4"/>
      <c r="E287" s="4"/>
    </row>
    <row r="288" spans="1:5" ht="15.75" customHeight="1" x14ac:dyDescent="0.3">
      <c r="A288" s="4"/>
      <c r="B288" s="4"/>
      <c r="C288" s="4"/>
      <c r="D288" s="4"/>
      <c r="E288" s="4"/>
    </row>
    <row r="289" spans="1:5" ht="15.75" customHeight="1" x14ac:dyDescent="0.3">
      <c r="A289" s="4"/>
      <c r="B289" s="4"/>
      <c r="C289" s="4"/>
      <c r="D289" s="4"/>
      <c r="E289" s="4"/>
    </row>
    <row r="290" spans="1:5" ht="15.75" customHeight="1" x14ac:dyDescent="0.3">
      <c r="A290" s="4"/>
      <c r="B290" s="4"/>
      <c r="C290" s="4"/>
      <c r="D290" s="4"/>
      <c r="E290" s="4"/>
    </row>
    <row r="291" spans="1:5" ht="15.75" customHeight="1" x14ac:dyDescent="0.3">
      <c r="A291" s="4"/>
      <c r="B291" s="4"/>
      <c r="C291" s="4"/>
      <c r="D291" s="4"/>
      <c r="E291" s="4"/>
    </row>
    <row r="292" spans="1:5" ht="15.75" customHeight="1" x14ac:dyDescent="0.3">
      <c r="A292" s="4"/>
      <c r="B292" s="4"/>
      <c r="C292" s="4"/>
      <c r="D292" s="4"/>
      <c r="E292" s="4"/>
    </row>
    <row r="293" spans="1:5" ht="15.75" customHeight="1" x14ac:dyDescent="0.3">
      <c r="A293" s="4"/>
      <c r="B293" s="4"/>
      <c r="C293" s="4"/>
      <c r="D293" s="4"/>
      <c r="E293" s="4"/>
    </row>
    <row r="294" spans="1:5" ht="15.75" customHeight="1" x14ac:dyDescent="0.3">
      <c r="A294" s="4"/>
      <c r="B294" s="4"/>
      <c r="C294" s="4"/>
      <c r="D294" s="4"/>
      <c r="E294" s="4"/>
    </row>
    <row r="295" spans="1:5" ht="15.75" customHeight="1" x14ac:dyDescent="0.3">
      <c r="A295" s="4"/>
      <c r="B295" s="4"/>
      <c r="C295" s="4"/>
      <c r="D295" s="4"/>
      <c r="E295" s="4"/>
    </row>
    <row r="296" spans="1:5" ht="15.75" customHeight="1" x14ac:dyDescent="0.3">
      <c r="A296" s="4"/>
      <c r="B296" s="4"/>
      <c r="C296" s="4"/>
      <c r="D296" s="4"/>
      <c r="E296" s="4"/>
    </row>
    <row r="297" spans="1:5" ht="15.75" customHeight="1" x14ac:dyDescent="0.3">
      <c r="A297" s="4"/>
      <c r="B297" s="4"/>
      <c r="C297" s="4"/>
      <c r="D297" s="4"/>
      <c r="E297" s="4"/>
    </row>
    <row r="298" spans="1:5" ht="15.75" customHeight="1" x14ac:dyDescent="0.3">
      <c r="A298" s="4"/>
      <c r="B298" s="4"/>
      <c r="C298" s="4"/>
      <c r="D298" s="4"/>
      <c r="E298" s="4"/>
    </row>
    <row r="299" spans="1:5" ht="15.75" customHeight="1" x14ac:dyDescent="0.3">
      <c r="A299" s="4"/>
      <c r="B299" s="4"/>
      <c r="C299" s="4"/>
      <c r="D299" s="4"/>
      <c r="E299" s="4"/>
    </row>
    <row r="300" spans="1:5" ht="15.75" customHeight="1" x14ac:dyDescent="0.3">
      <c r="A300" s="4"/>
      <c r="B300" s="4"/>
      <c r="C300" s="4"/>
      <c r="D300" s="4"/>
      <c r="E300" s="4"/>
    </row>
    <row r="301" spans="1:5" ht="15.75" customHeight="1" x14ac:dyDescent="0.3">
      <c r="A301" s="4"/>
      <c r="B301" s="4"/>
      <c r="C301" s="4"/>
      <c r="D301" s="4"/>
      <c r="E301" s="4"/>
    </row>
    <row r="302" spans="1:5" ht="15.75" customHeight="1" x14ac:dyDescent="0.3">
      <c r="A302" s="4"/>
      <c r="B302" s="4"/>
      <c r="C302" s="4"/>
      <c r="D302" s="4"/>
      <c r="E302" s="4"/>
    </row>
    <row r="303" spans="1:5" ht="15.75" customHeight="1" x14ac:dyDescent="0.3">
      <c r="A303" s="4"/>
      <c r="B303" s="4"/>
      <c r="C303" s="4"/>
      <c r="D303" s="4"/>
      <c r="E303" s="4"/>
    </row>
    <row r="304" spans="1:5" ht="15.75" customHeight="1" x14ac:dyDescent="0.3">
      <c r="A304" s="4"/>
      <c r="B304" s="4"/>
      <c r="C304" s="4"/>
      <c r="D304" s="4"/>
      <c r="E304" s="4"/>
    </row>
    <row r="305" spans="1:5" ht="15.75" customHeight="1" x14ac:dyDescent="0.3">
      <c r="A305" s="4"/>
      <c r="B305" s="4"/>
      <c r="C305" s="4"/>
      <c r="D305" s="4"/>
      <c r="E305" s="4"/>
    </row>
    <row r="306" spans="1:5" ht="15.75" customHeight="1" x14ac:dyDescent="0.3">
      <c r="A306" s="4"/>
      <c r="B306" s="4"/>
      <c r="C306" s="4"/>
      <c r="D306" s="4"/>
      <c r="E306" s="4"/>
    </row>
    <row r="307" spans="1:5" ht="15.75" customHeight="1" x14ac:dyDescent="0.3">
      <c r="A307" s="4"/>
      <c r="B307" s="4"/>
      <c r="C307" s="4"/>
      <c r="D307" s="4"/>
      <c r="E307" s="4"/>
    </row>
    <row r="308" spans="1:5" ht="15.75" customHeight="1" x14ac:dyDescent="0.3">
      <c r="A308" s="4"/>
      <c r="B308" s="4"/>
      <c r="C308" s="4"/>
      <c r="D308" s="4"/>
      <c r="E308" s="4"/>
    </row>
    <row r="309" spans="1:5" ht="15.75" customHeight="1" x14ac:dyDescent="0.3">
      <c r="A309" s="4"/>
      <c r="B309" s="4"/>
      <c r="C309" s="4"/>
      <c r="D309" s="4"/>
      <c r="E309" s="4"/>
    </row>
    <row r="310" spans="1:5" ht="15.75" customHeight="1" x14ac:dyDescent="0.3">
      <c r="A310" s="4"/>
      <c r="B310" s="4"/>
      <c r="C310" s="4"/>
      <c r="D310" s="4"/>
      <c r="E310" s="4"/>
    </row>
    <row r="311" spans="1:5" ht="15.75" customHeight="1" x14ac:dyDescent="0.3">
      <c r="A311" s="4"/>
      <c r="B311" s="4"/>
      <c r="C311" s="4"/>
      <c r="D311" s="4"/>
      <c r="E311" s="4"/>
    </row>
    <row r="312" spans="1:5" ht="15.75" customHeight="1" x14ac:dyDescent="0.3">
      <c r="A312" s="4"/>
      <c r="B312" s="4"/>
      <c r="C312" s="4"/>
      <c r="D312" s="4"/>
      <c r="E312" s="4"/>
    </row>
    <row r="313" spans="1:5" ht="15.75" customHeight="1" x14ac:dyDescent="0.3">
      <c r="A313" s="4"/>
      <c r="B313" s="4"/>
      <c r="C313" s="4"/>
      <c r="D313" s="4"/>
      <c r="E313" s="4"/>
    </row>
    <row r="314" spans="1:5" ht="15.75" customHeight="1" x14ac:dyDescent="0.3">
      <c r="A314" s="4"/>
      <c r="B314" s="4"/>
      <c r="C314" s="4"/>
      <c r="D314" s="4"/>
      <c r="E314" s="4"/>
    </row>
    <row r="315" spans="1:5" ht="15.75" customHeight="1" x14ac:dyDescent="0.3">
      <c r="A315" s="4"/>
      <c r="B315" s="4"/>
      <c r="C315" s="4"/>
      <c r="D315" s="4"/>
      <c r="E315" s="4"/>
    </row>
    <row r="316" spans="1:5" ht="15.75" customHeight="1" x14ac:dyDescent="0.3">
      <c r="A316" s="4"/>
      <c r="B316" s="4"/>
      <c r="C316" s="4"/>
      <c r="D316" s="4"/>
      <c r="E316" s="4"/>
    </row>
    <row r="317" spans="1:5" ht="15.75" customHeight="1" x14ac:dyDescent="0.3">
      <c r="A317" s="4"/>
      <c r="B317" s="4"/>
      <c r="C317" s="4"/>
      <c r="D317" s="4"/>
      <c r="E317" s="4"/>
    </row>
    <row r="318" spans="1:5" ht="15.75" customHeight="1" x14ac:dyDescent="0.3">
      <c r="A318" s="4"/>
      <c r="B318" s="4"/>
      <c r="C318" s="4"/>
      <c r="D318" s="4"/>
      <c r="E318" s="4"/>
    </row>
    <row r="319" spans="1:5" ht="15.75" customHeight="1" x14ac:dyDescent="0.3">
      <c r="A319" s="4"/>
      <c r="B319" s="4"/>
      <c r="C319" s="4"/>
      <c r="D319" s="4"/>
      <c r="E319" s="4"/>
    </row>
    <row r="320" spans="1:5" ht="15.75" customHeight="1" x14ac:dyDescent="0.3">
      <c r="A320" s="4"/>
      <c r="B320" s="4"/>
      <c r="C320" s="4"/>
      <c r="D320" s="4"/>
      <c r="E320" s="4"/>
    </row>
    <row r="321" spans="1:5" ht="15.75" customHeight="1" x14ac:dyDescent="0.3">
      <c r="A321" s="4"/>
      <c r="B321" s="4"/>
      <c r="C321" s="4"/>
      <c r="D321" s="4"/>
      <c r="E321" s="4"/>
    </row>
    <row r="322" spans="1:5" ht="15.75" customHeight="1" x14ac:dyDescent="0.3">
      <c r="A322" s="4"/>
      <c r="B322" s="4"/>
      <c r="C322" s="4"/>
      <c r="D322" s="4"/>
      <c r="E322" s="4"/>
    </row>
    <row r="323" spans="1:5" ht="15.75" customHeight="1" x14ac:dyDescent="0.3">
      <c r="A323" s="4"/>
      <c r="B323" s="4"/>
      <c r="C323" s="4"/>
      <c r="D323" s="4"/>
      <c r="E323" s="4"/>
    </row>
    <row r="324" spans="1:5" ht="15.75" customHeight="1" x14ac:dyDescent="0.3">
      <c r="A324" s="4"/>
      <c r="B324" s="4"/>
      <c r="C324" s="4"/>
      <c r="D324" s="4"/>
      <c r="E324" s="4"/>
    </row>
    <row r="325" spans="1:5" ht="15.75" customHeight="1" x14ac:dyDescent="0.3">
      <c r="A325" s="4"/>
      <c r="B325" s="4"/>
      <c r="C325" s="4"/>
      <c r="D325" s="4"/>
      <c r="E325" s="4"/>
    </row>
    <row r="326" spans="1:5" ht="15.75" customHeight="1" x14ac:dyDescent="0.3">
      <c r="A326" s="4"/>
      <c r="B326" s="4"/>
      <c r="C326" s="4"/>
      <c r="D326" s="4"/>
      <c r="E326" s="4"/>
    </row>
    <row r="327" spans="1:5" ht="15.75" customHeight="1" x14ac:dyDescent="0.3">
      <c r="A327" s="4"/>
      <c r="B327" s="4"/>
      <c r="C327" s="4"/>
      <c r="D327" s="4"/>
      <c r="E327" s="4"/>
    </row>
    <row r="328" spans="1:5" ht="15.75" customHeight="1" x14ac:dyDescent="0.3">
      <c r="A328" s="4"/>
      <c r="B328" s="4"/>
      <c r="C328" s="4"/>
      <c r="D328" s="4"/>
      <c r="E328" s="4"/>
    </row>
    <row r="329" spans="1:5" ht="15.75" customHeight="1" x14ac:dyDescent="0.3">
      <c r="A329" s="4"/>
      <c r="B329" s="4"/>
      <c r="C329" s="4"/>
      <c r="D329" s="4"/>
      <c r="E329" s="4"/>
    </row>
    <row r="330" spans="1:5" ht="15.75" customHeight="1" x14ac:dyDescent="0.3">
      <c r="A330" s="4"/>
      <c r="B330" s="4"/>
      <c r="C330" s="4"/>
      <c r="D330" s="4"/>
      <c r="E330" s="4"/>
    </row>
    <row r="331" spans="1:5" ht="15.75" customHeight="1" x14ac:dyDescent="0.3">
      <c r="A331" s="4"/>
      <c r="B331" s="4"/>
      <c r="C331" s="4"/>
      <c r="D331" s="4"/>
      <c r="E331" s="4"/>
    </row>
    <row r="332" spans="1:5" ht="15.75" customHeight="1" x14ac:dyDescent="0.3">
      <c r="A332" s="4"/>
      <c r="B332" s="4"/>
      <c r="C332" s="4"/>
      <c r="D332" s="4"/>
      <c r="E332" s="4"/>
    </row>
    <row r="333" spans="1:5" ht="15.75" customHeight="1" x14ac:dyDescent="0.3">
      <c r="A333" s="4"/>
      <c r="B333" s="4"/>
      <c r="C333" s="4"/>
      <c r="D333" s="4"/>
      <c r="E333" s="4"/>
    </row>
    <row r="334" spans="1:5" ht="15.75" customHeight="1" x14ac:dyDescent="0.3">
      <c r="A334" s="4"/>
      <c r="B334" s="4"/>
      <c r="C334" s="4"/>
      <c r="D334" s="4"/>
      <c r="E334" s="4"/>
    </row>
    <row r="335" spans="1:5" ht="15.75" customHeight="1" x14ac:dyDescent="0.3">
      <c r="A335" s="4"/>
      <c r="B335" s="4"/>
      <c r="C335" s="4"/>
      <c r="D335" s="4"/>
      <c r="E335" s="4"/>
    </row>
    <row r="336" spans="1:5" ht="15.75" customHeight="1" x14ac:dyDescent="0.3">
      <c r="A336" s="4"/>
      <c r="B336" s="4"/>
      <c r="C336" s="4"/>
      <c r="D336" s="4"/>
      <c r="E336" s="4"/>
    </row>
    <row r="337" spans="1:5" ht="15.75" customHeight="1" x14ac:dyDescent="0.3">
      <c r="A337" s="4"/>
      <c r="B337" s="4"/>
      <c r="C337" s="4"/>
      <c r="D337" s="4"/>
      <c r="E337" s="4"/>
    </row>
    <row r="338" spans="1:5" ht="15.75" customHeight="1" x14ac:dyDescent="0.3">
      <c r="A338" s="4"/>
      <c r="B338" s="4"/>
      <c r="C338" s="4"/>
      <c r="D338" s="4"/>
      <c r="E338" s="4"/>
    </row>
    <row r="339" spans="1:5" ht="15.75" customHeight="1" x14ac:dyDescent="0.3">
      <c r="A339" s="4"/>
      <c r="B339" s="4"/>
      <c r="C339" s="4"/>
      <c r="D339" s="4"/>
      <c r="E339" s="4"/>
    </row>
    <row r="340" spans="1:5" ht="15.75" customHeight="1" x14ac:dyDescent="0.3">
      <c r="A340" s="4"/>
      <c r="B340" s="4"/>
      <c r="C340" s="4"/>
      <c r="D340" s="4"/>
      <c r="E340" s="4"/>
    </row>
    <row r="341" spans="1:5" ht="15.75" customHeight="1" x14ac:dyDescent="0.3">
      <c r="A341" s="4"/>
      <c r="B341" s="4"/>
      <c r="C341" s="4"/>
      <c r="D341" s="4"/>
      <c r="E341" s="4"/>
    </row>
    <row r="342" spans="1:5" ht="15.75" customHeight="1" x14ac:dyDescent="0.3">
      <c r="A342" s="4"/>
      <c r="B342" s="4"/>
      <c r="C342" s="4"/>
      <c r="D342" s="4"/>
      <c r="E342" s="4"/>
    </row>
    <row r="343" spans="1:5" ht="15.75" customHeight="1" x14ac:dyDescent="0.3">
      <c r="A343" s="4"/>
      <c r="B343" s="4"/>
      <c r="C343" s="4"/>
      <c r="D343" s="4"/>
      <c r="E343" s="4"/>
    </row>
    <row r="344" spans="1:5" ht="15.75" customHeight="1" x14ac:dyDescent="0.3">
      <c r="A344" s="4"/>
      <c r="B344" s="4"/>
      <c r="C344" s="4"/>
      <c r="D344" s="4"/>
      <c r="E344" s="4"/>
    </row>
    <row r="345" spans="1:5" ht="15.75" customHeight="1" x14ac:dyDescent="0.3">
      <c r="A345" s="4"/>
      <c r="B345" s="4"/>
      <c r="C345" s="4"/>
      <c r="D345" s="4"/>
      <c r="E345" s="4"/>
    </row>
    <row r="346" spans="1:5" ht="15.75" customHeight="1" x14ac:dyDescent="0.3">
      <c r="A346" s="4"/>
      <c r="B346" s="4"/>
      <c r="C346" s="4"/>
      <c r="D346" s="4"/>
      <c r="E346" s="4"/>
    </row>
    <row r="347" spans="1:5" ht="15.75" customHeight="1" x14ac:dyDescent="0.3">
      <c r="A347" s="4"/>
      <c r="B347" s="4"/>
      <c r="C347" s="4"/>
      <c r="D347" s="4"/>
      <c r="E347" s="4"/>
    </row>
    <row r="348" spans="1:5" ht="15.75" customHeight="1" x14ac:dyDescent="0.3">
      <c r="A348" s="4"/>
      <c r="B348" s="4"/>
      <c r="C348" s="4"/>
      <c r="D348" s="4"/>
      <c r="E348" s="4"/>
    </row>
    <row r="349" spans="1:5" ht="15.75" customHeight="1" x14ac:dyDescent="0.3">
      <c r="A349" s="4"/>
      <c r="B349" s="4"/>
      <c r="C349" s="4"/>
      <c r="D349" s="4"/>
      <c r="E349" s="4"/>
    </row>
    <row r="350" spans="1:5" ht="15.75" customHeight="1" x14ac:dyDescent="0.3">
      <c r="A350" s="4"/>
      <c r="B350" s="4"/>
      <c r="C350" s="4"/>
      <c r="D350" s="4"/>
      <c r="E350" s="4"/>
    </row>
    <row r="351" spans="1:5" ht="15.75" customHeight="1" x14ac:dyDescent="0.3">
      <c r="A351" s="4"/>
      <c r="B351" s="4"/>
      <c r="C351" s="4"/>
      <c r="D351" s="4"/>
      <c r="E351" s="4"/>
    </row>
    <row r="352" spans="1:5" ht="15.75" customHeight="1" x14ac:dyDescent="0.3">
      <c r="A352" s="4"/>
      <c r="B352" s="4"/>
      <c r="C352" s="4"/>
      <c r="D352" s="4"/>
      <c r="E352" s="4"/>
    </row>
    <row r="353" spans="1:5" ht="15.75" customHeight="1" x14ac:dyDescent="0.3">
      <c r="A353" s="4"/>
      <c r="B353" s="4"/>
      <c r="C353" s="4"/>
      <c r="D353" s="4"/>
      <c r="E353" s="4"/>
    </row>
    <row r="354" spans="1:5" ht="15.75" customHeight="1" x14ac:dyDescent="0.3">
      <c r="A354" s="4"/>
      <c r="B354" s="4"/>
      <c r="C354" s="4"/>
      <c r="D354" s="4"/>
      <c r="E354" s="4"/>
    </row>
    <row r="355" spans="1:5" ht="15.75" customHeight="1" x14ac:dyDescent="0.3">
      <c r="A355" s="4"/>
      <c r="B355" s="4"/>
      <c r="C355" s="4"/>
      <c r="D355" s="4"/>
      <c r="E355" s="4"/>
    </row>
    <row r="356" spans="1:5" ht="15.75" customHeight="1" x14ac:dyDescent="0.3">
      <c r="A356" s="4"/>
      <c r="B356" s="4"/>
      <c r="C356" s="4"/>
      <c r="D356" s="4"/>
      <c r="E356" s="4"/>
    </row>
    <row r="357" spans="1:5" ht="15.75" customHeight="1" x14ac:dyDescent="0.3">
      <c r="A357" s="4"/>
      <c r="B357" s="4"/>
      <c r="C357" s="4"/>
      <c r="D357" s="4"/>
      <c r="E357" s="4"/>
    </row>
    <row r="358" spans="1:5" ht="15.75" customHeight="1" x14ac:dyDescent="0.3">
      <c r="A358" s="4"/>
      <c r="B358" s="4"/>
      <c r="C358" s="4"/>
      <c r="D358" s="4"/>
      <c r="E358" s="4"/>
    </row>
    <row r="359" spans="1:5" ht="15.75" customHeight="1" x14ac:dyDescent="0.3">
      <c r="A359" s="4"/>
      <c r="B359" s="4"/>
      <c r="C359" s="4"/>
      <c r="D359" s="4"/>
      <c r="E359" s="4"/>
    </row>
    <row r="360" spans="1:5" ht="15.75" customHeight="1" x14ac:dyDescent="0.3">
      <c r="A360" s="4"/>
      <c r="B360" s="4"/>
      <c r="C360" s="4"/>
      <c r="D360" s="4"/>
      <c r="E360" s="4"/>
    </row>
    <row r="361" spans="1:5" ht="15.75" customHeight="1" x14ac:dyDescent="0.3">
      <c r="A361" s="4"/>
      <c r="B361" s="4"/>
      <c r="C361" s="4"/>
      <c r="D361" s="4"/>
      <c r="E361" s="4"/>
    </row>
    <row r="362" spans="1:5" ht="15.75" customHeight="1" x14ac:dyDescent="0.3">
      <c r="A362" s="4"/>
      <c r="B362" s="4"/>
      <c r="C362" s="4"/>
      <c r="D362" s="4"/>
      <c r="E362" s="4"/>
    </row>
    <row r="363" spans="1:5" ht="15.75" customHeight="1" x14ac:dyDescent="0.3">
      <c r="A363" s="4"/>
      <c r="B363" s="4"/>
      <c r="C363" s="4"/>
      <c r="D363" s="4"/>
      <c r="E363" s="4"/>
    </row>
    <row r="364" spans="1:5" ht="15.75" customHeight="1" x14ac:dyDescent="0.3">
      <c r="A364" s="4"/>
      <c r="B364" s="4"/>
      <c r="C364" s="4"/>
      <c r="D364" s="4"/>
      <c r="E364" s="4"/>
    </row>
    <row r="365" spans="1:5" ht="15.75" customHeight="1" x14ac:dyDescent="0.3">
      <c r="A365" s="4"/>
      <c r="B365" s="4"/>
      <c r="C365" s="4"/>
      <c r="D365" s="4"/>
      <c r="E365" s="4"/>
    </row>
    <row r="366" spans="1:5" ht="15.75" customHeight="1" x14ac:dyDescent="0.3">
      <c r="A366" s="4"/>
      <c r="B366" s="4"/>
      <c r="C366" s="4"/>
      <c r="D366" s="4"/>
      <c r="E366" s="4"/>
    </row>
    <row r="367" spans="1:5" ht="15.75" customHeight="1" x14ac:dyDescent="0.3">
      <c r="A367" s="4"/>
      <c r="B367" s="4"/>
      <c r="C367" s="4"/>
      <c r="D367" s="4"/>
      <c r="E367" s="4"/>
    </row>
    <row r="368" spans="1:5" ht="15.75" customHeight="1" x14ac:dyDescent="0.3">
      <c r="A368" s="4"/>
      <c r="B368" s="4"/>
      <c r="C368" s="4"/>
      <c r="D368" s="4"/>
      <c r="E368" s="4"/>
    </row>
    <row r="369" spans="1:5" ht="15.75" customHeight="1" x14ac:dyDescent="0.3">
      <c r="A369" s="4"/>
      <c r="B369" s="4"/>
      <c r="C369" s="4"/>
      <c r="D369" s="4"/>
      <c r="E369" s="4"/>
    </row>
    <row r="370" spans="1:5" ht="15.75" customHeight="1" x14ac:dyDescent="0.3">
      <c r="A370" s="4"/>
      <c r="B370" s="4"/>
      <c r="C370" s="4"/>
      <c r="D370" s="4"/>
      <c r="E370" s="4"/>
    </row>
    <row r="371" spans="1:5" ht="15.75" customHeight="1" x14ac:dyDescent="0.3">
      <c r="A371" s="4"/>
      <c r="B371" s="4"/>
      <c r="C371" s="4"/>
      <c r="D371" s="4"/>
      <c r="E371" s="4"/>
    </row>
    <row r="372" spans="1:5" ht="15.75" customHeight="1" x14ac:dyDescent="0.3">
      <c r="A372" s="4"/>
      <c r="B372" s="4"/>
      <c r="C372" s="4"/>
      <c r="D372" s="4"/>
      <c r="E372" s="4"/>
    </row>
    <row r="373" spans="1:5" ht="15.75" customHeight="1" x14ac:dyDescent="0.3">
      <c r="A373" s="4"/>
      <c r="B373" s="4"/>
      <c r="C373" s="4"/>
      <c r="D373" s="4"/>
      <c r="E373" s="4"/>
    </row>
    <row r="374" spans="1:5" ht="15.75" customHeight="1" x14ac:dyDescent="0.3">
      <c r="A374" s="4"/>
      <c r="B374" s="4"/>
      <c r="C374" s="4"/>
      <c r="D374" s="4"/>
      <c r="E374" s="4"/>
    </row>
    <row r="375" spans="1:5" ht="15.75" customHeight="1" x14ac:dyDescent="0.3">
      <c r="A375" s="4"/>
      <c r="B375" s="4"/>
      <c r="C375" s="4"/>
      <c r="D375" s="4"/>
      <c r="E375" s="4"/>
    </row>
    <row r="376" spans="1:5" ht="15.75" customHeight="1" x14ac:dyDescent="0.3">
      <c r="A376" s="4"/>
      <c r="B376" s="4"/>
      <c r="C376" s="4"/>
      <c r="D376" s="4"/>
      <c r="E376" s="4"/>
    </row>
    <row r="377" spans="1:5" ht="15.75" customHeight="1" x14ac:dyDescent="0.3">
      <c r="A377" s="4"/>
      <c r="B377" s="4"/>
      <c r="C377" s="4"/>
      <c r="D377" s="4"/>
      <c r="E377" s="4"/>
    </row>
    <row r="378" spans="1:5" ht="15.75" customHeight="1" x14ac:dyDescent="0.3">
      <c r="A378" s="4"/>
      <c r="B378" s="4"/>
      <c r="C378" s="4"/>
      <c r="D378" s="4"/>
      <c r="E378" s="4"/>
    </row>
    <row r="379" spans="1:5" ht="15.75" customHeight="1" x14ac:dyDescent="0.3">
      <c r="A379" s="4"/>
      <c r="B379" s="4"/>
      <c r="C379" s="4"/>
      <c r="D379" s="4"/>
      <c r="E379" s="4"/>
    </row>
    <row r="380" spans="1:5" ht="15.75" customHeight="1" x14ac:dyDescent="0.3">
      <c r="A380" s="4"/>
      <c r="B380" s="4"/>
      <c r="C380" s="4"/>
      <c r="D380" s="4"/>
      <c r="E380" s="4"/>
    </row>
    <row r="381" spans="1:5" ht="15.75" customHeight="1" x14ac:dyDescent="0.3">
      <c r="A381" s="4"/>
      <c r="B381" s="4"/>
      <c r="C381" s="4"/>
      <c r="D381" s="4"/>
      <c r="E381" s="4"/>
    </row>
    <row r="382" spans="1:5" ht="15.75" customHeight="1" x14ac:dyDescent="0.3">
      <c r="A382" s="4"/>
      <c r="B382" s="4"/>
      <c r="C382" s="4"/>
      <c r="D382" s="4"/>
      <c r="E382" s="4"/>
    </row>
    <row r="383" spans="1:5" ht="15.75" customHeight="1" x14ac:dyDescent="0.3">
      <c r="A383" s="4"/>
      <c r="B383" s="4"/>
      <c r="C383" s="4"/>
      <c r="D383" s="4"/>
      <c r="E383" s="4"/>
    </row>
    <row r="384" spans="1:5" ht="15.75" customHeight="1" x14ac:dyDescent="0.3">
      <c r="A384" s="4"/>
      <c r="B384" s="4"/>
      <c r="C384" s="4"/>
      <c r="D384" s="4"/>
      <c r="E384" s="4"/>
    </row>
    <row r="385" spans="1:5" ht="15.75" customHeight="1" x14ac:dyDescent="0.3">
      <c r="A385" s="4"/>
      <c r="B385" s="4"/>
      <c r="C385" s="4"/>
      <c r="D385" s="4"/>
      <c r="E385" s="4"/>
    </row>
    <row r="386" spans="1:5" ht="15.75" customHeight="1" x14ac:dyDescent="0.3">
      <c r="A386" s="4"/>
      <c r="B386" s="4"/>
      <c r="C386" s="4"/>
      <c r="D386" s="4"/>
      <c r="E386" s="4"/>
    </row>
    <row r="387" spans="1:5" ht="15.75" customHeight="1" x14ac:dyDescent="0.3">
      <c r="A387" s="4"/>
      <c r="B387" s="4"/>
      <c r="C387" s="4"/>
      <c r="D387" s="4"/>
      <c r="E387" s="4"/>
    </row>
    <row r="388" spans="1:5" ht="15.75" customHeight="1" x14ac:dyDescent="0.3">
      <c r="A388" s="4"/>
      <c r="B388" s="4"/>
      <c r="C388" s="4"/>
      <c r="D388" s="4"/>
      <c r="E388" s="4"/>
    </row>
    <row r="389" spans="1:5" ht="15.75" customHeight="1" x14ac:dyDescent="0.3">
      <c r="A389" s="4"/>
      <c r="B389" s="4"/>
      <c r="C389" s="4"/>
      <c r="D389" s="4"/>
      <c r="E389" s="4"/>
    </row>
    <row r="390" spans="1:5" ht="15.75" customHeight="1" x14ac:dyDescent="0.3">
      <c r="A390" s="4"/>
      <c r="B390" s="4"/>
      <c r="C390" s="4"/>
      <c r="D390" s="4"/>
      <c r="E390" s="4"/>
    </row>
    <row r="391" spans="1:5" ht="15.75" customHeight="1" x14ac:dyDescent="0.3">
      <c r="A391" s="4"/>
      <c r="B391" s="4"/>
      <c r="C391" s="4"/>
      <c r="D391" s="4"/>
      <c r="E391" s="4"/>
    </row>
    <row r="392" spans="1:5" ht="15.75" customHeight="1" x14ac:dyDescent="0.3">
      <c r="A392" s="4"/>
      <c r="B392" s="4"/>
      <c r="C392" s="4"/>
      <c r="D392" s="4"/>
      <c r="E392" s="4"/>
    </row>
    <row r="393" spans="1:5" ht="15.75" customHeight="1" x14ac:dyDescent="0.3">
      <c r="A393" s="4"/>
      <c r="B393" s="4"/>
      <c r="C393" s="4"/>
      <c r="D393" s="4"/>
      <c r="E393" s="4"/>
    </row>
    <row r="394" spans="1:5" ht="15.75" customHeight="1" x14ac:dyDescent="0.3">
      <c r="A394" s="4"/>
      <c r="B394" s="4"/>
      <c r="C394" s="4"/>
      <c r="D394" s="4"/>
      <c r="E394" s="4"/>
    </row>
    <row r="395" spans="1:5" ht="15.75" customHeight="1" x14ac:dyDescent="0.3">
      <c r="A395" s="4"/>
      <c r="B395" s="4"/>
      <c r="C395" s="4"/>
      <c r="D395" s="4"/>
      <c r="E395" s="4"/>
    </row>
    <row r="396" spans="1:5" ht="15.75" customHeight="1" x14ac:dyDescent="0.3">
      <c r="A396" s="4"/>
      <c r="B396" s="4"/>
      <c r="C396" s="4"/>
      <c r="D396" s="4"/>
      <c r="E396" s="4"/>
    </row>
    <row r="397" spans="1:5" ht="15.75" customHeight="1" x14ac:dyDescent="0.3">
      <c r="A397" s="4"/>
      <c r="B397" s="4"/>
      <c r="C397" s="4"/>
      <c r="D397" s="4"/>
      <c r="E397" s="4"/>
    </row>
    <row r="398" spans="1:5" ht="15.75" customHeight="1" x14ac:dyDescent="0.3">
      <c r="A398" s="4"/>
      <c r="B398" s="4"/>
      <c r="C398" s="4"/>
      <c r="D398" s="4"/>
      <c r="E398" s="4"/>
    </row>
    <row r="399" spans="1:5" ht="15.75" customHeight="1" x14ac:dyDescent="0.3">
      <c r="A399" s="4"/>
      <c r="B399" s="4"/>
      <c r="C399" s="4"/>
      <c r="D399" s="4"/>
      <c r="E399" s="4"/>
    </row>
    <row r="400" spans="1:5" ht="15.75" customHeight="1" x14ac:dyDescent="0.3">
      <c r="A400" s="4"/>
      <c r="B400" s="4"/>
      <c r="C400" s="4"/>
      <c r="D400" s="4"/>
      <c r="E400" s="4"/>
    </row>
    <row r="401" spans="1:5" ht="15.75" customHeight="1" x14ac:dyDescent="0.3">
      <c r="A401" s="4"/>
      <c r="B401" s="4"/>
      <c r="C401" s="4"/>
      <c r="D401" s="4"/>
      <c r="E401" s="4"/>
    </row>
    <row r="402" spans="1:5" ht="15.75" customHeight="1" x14ac:dyDescent="0.3">
      <c r="A402" s="4"/>
      <c r="B402" s="4"/>
      <c r="C402" s="4"/>
      <c r="D402" s="4"/>
      <c r="E402" s="4"/>
    </row>
    <row r="403" spans="1:5" ht="15.75" customHeight="1" x14ac:dyDescent="0.3">
      <c r="A403" s="4"/>
      <c r="B403" s="4"/>
      <c r="C403" s="4"/>
      <c r="D403" s="4"/>
      <c r="E403" s="4"/>
    </row>
    <row r="404" spans="1:5" ht="15.75" customHeight="1" x14ac:dyDescent="0.3">
      <c r="A404" s="4"/>
      <c r="B404" s="4"/>
      <c r="C404" s="4"/>
      <c r="D404" s="4"/>
      <c r="E404" s="4"/>
    </row>
    <row r="405" spans="1:5" ht="15.75" customHeight="1" x14ac:dyDescent="0.3">
      <c r="A405" s="4"/>
      <c r="B405" s="4"/>
      <c r="C405" s="4"/>
      <c r="D405" s="4"/>
      <c r="E405" s="4"/>
    </row>
    <row r="406" spans="1:5" ht="15.75" customHeight="1" x14ac:dyDescent="0.3">
      <c r="A406" s="4"/>
      <c r="B406" s="4"/>
      <c r="C406" s="4"/>
      <c r="D406" s="4"/>
      <c r="E406" s="4"/>
    </row>
    <row r="407" spans="1:5" ht="15.75" customHeight="1" x14ac:dyDescent="0.3">
      <c r="A407" s="4"/>
      <c r="B407" s="4"/>
      <c r="C407" s="4"/>
      <c r="D407" s="4"/>
      <c r="E407" s="4"/>
    </row>
    <row r="408" spans="1:5" ht="15.75" customHeight="1" x14ac:dyDescent="0.3">
      <c r="A408" s="4"/>
      <c r="B408" s="4"/>
      <c r="C408" s="4"/>
      <c r="D408" s="4"/>
      <c r="E408" s="4"/>
    </row>
    <row r="409" spans="1:5" ht="15.75" customHeight="1" x14ac:dyDescent="0.3">
      <c r="A409" s="4"/>
      <c r="B409" s="4"/>
      <c r="C409" s="4"/>
      <c r="D409" s="4"/>
      <c r="E409" s="4"/>
    </row>
    <row r="410" spans="1:5" ht="15.75" customHeight="1" x14ac:dyDescent="0.3">
      <c r="A410" s="4"/>
      <c r="B410" s="4"/>
      <c r="C410" s="4"/>
      <c r="D410" s="4"/>
      <c r="E410" s="4"/>
    </row>
    <row r="411" spans="1:5" ht="15.75" customHeight="1" x14ac:dyDescent="0.3">
      <c r="A411" s="4"/>
      <c r="B411" s="4"/>
      <c r="C411" s="4"/>
      <c r="D411" s="4"/>
      <c r="E411" s="4"/>
    </row>
    <row r="412" spans="1:5" ht="15.75" customHeight="1" x14ac:dyDescent="0.3">
      <c r="A412" s="4"/>
      <c r="B412" s="4"/>
      <c r="C412" s="4"/>
      <c r="D412" s="4"/>
      <c r="E412" s="4"/>
    </row>
    <row r="413" spans="1:5" ht="15.75" customHeight="1" x14ac:dyDescent="0.3">
      <c r="A413" s="4"/>
      <c r="B413" s="4"/>
      <c r="C413" s="4"/>
      <c r="D413" s="4"/>
      <c r="E413" s="4"/>
    </row>
    <row r="414" spans="1:5" ht="15.75" customHeight="1" x14ac:dyDescent="0.3">
      <c r="A414" s="4"/>
      <c r="B414" s="4"/>
      <c r="C414" s="4"/>
      <c r="D414" s="4"/>
      <c r="E414" s="4"/>
    </row>
    <row r="415" spans="1:5" ht="15.75" customHeight="1" x14ac:dyDescent="0.3">
      <c r="A415" s="4"/>
      <c r="B415" s="4"/>
      <c r="C415" s="4"/>
      <c r="D415" s="4"/>
      <c r="E415" s="4"/>
    </row>
    <row r="416" spans="1:5" ht="15.75" customHeight="1" x14ac:dyDescent="0.3">
      <c r="A416" s="4"/>
      <c r="B416" s="4"/>
      <c r="C416" s="4"/>
      <c r="D416" s="4"/>
      <c r="E416" s="4"/>
    </row>
    <row r="417" spans="1:5" ht="15.75" customHeight="1" x14ac:dyDescent="0.3">
      <c r="A417" s="4"/>
      <c r="B417" s="4"/>
      <c r="C417" s="4"/>
      <c r="D417" s="4"/>
      <c r="E417" s="4"/>
    </row>
    <row r="418" spans="1:5" ht="15.75" customHeight="1" x14ac:dyDescent="0.3">
      <c r="A418" s="4"/>
      <c r="B418" s="4"/>
      <c r="C418" s="4"/>
      <c r="D418" s="4"/>
      <c r="E418" s="4"/>
    </row>
    <row r="419" spans="1:5" ht="15.75" customHeight="1" x14ac:dyDescent="0.3">
      <c r="A419" s="4"/>
      <c r="B419" s="4"/>
      <c r="C419" s="4"/>
      <c r="D419" s="4"/>
      <c r="E419" s="4"/>
    </row>
    <row r="420" spans="1:5" ht="15.75" customHeight="1" x14ac:dyDescent="0.3">
      <c r="A420" s="4"/>
      <c r="B420" s="4"/>
      <c r="C420" s="4"/>
      <c r="D420" s="4"/>
      <c r="E420" s="4"/>
    </row>
    <row r="421" spans="1:5" ht="15.75" customHeight="1" x14ac:dyDescent="0.3">
      <c r="A421" s="4"/>
      <c r="B421" s="4"/>
      <c r="C421" s="4"/>
      <c r="D421" s="4"/>
      <c r="E421" s="4"/>
    </row>
    <row r="422" spans="1:5" ht="15.75" customHeight="1" x14ac:dyDescent="0.3">
      <c r="A422" s="4"/>
      <c r="B422" s="4"/>
      <c r="C422" s="4"/>
      <c r="D422" s="4"/>
      <c r="E422" s="4"/>
    </row>
    <row r="423" spans="1:5" ht="15.75" customHeight="1" x14ac:dyDescent="0.3">
      <c r="A423" s="4"/>
      <c r="B423" s="4"/>
      <c r="C423" s="4"/>
      <c r="D423" s="4"/>
      <c r="E423" s="4"/>
    </row>
    <row r="424" spans="1:5" ht="15.75" customHeight="1" x14ac:dyDescent="0.3">
      <c r="A424" s="4"/>
      <c r="B424" s="4"/>
      <c r="C424" s="4"/>
      <c r="D424" s="4"/>
      <c r="E424" s="4"/>
    </row>
    <row r="425" spans="1:5" ht="15.75" customHeight="1" x14ac:dyDescent="0.3">
      <c r="A425" s="4"/>
      <c r="B425" s="4"/>
      <c r="C425" s="4"/>
      <c r="D425" s="4"/>
      <c r="E425" s="4"/>
    </row>
    <row r="426" spans="1:5" ht="15.75" customHeight="1" x14ac:dyDescent="0.3">
      <c r="A426" s="4"/>
      <c r="B426" s="4"/>
      <c r="C426" s="4"/>
      <c r="D426" s="4"/>
      <c r="E426" s="4"/>
    </row>
    <row r="427" spans="1:5" ht="15.75" customHeight="1" x14ac:dyDescent="0.3">
      <c r="A427" s="4"/>
      <c r="B427" s="4"/>
      <c r="C427" s="4"/>
      <c r="D427" s="4"/>
      <c r="E427" s="4"/>
    </row>
    <row r="428" spans="1:5" ht="15.75" customHeight="1" x14ac:dyDescent="0.3">
      <c r="A428" s="4"/>
      <c r="B428" s="4"/>
      <c r="C428" s="4"/>
      <c r="D428" s="4"/>
      <c r="E428" s="4"/>
    </row>
    <row r="429" spans="1:5" ht="15.75" customHeight="1" x14ac:dyDescent="0.3">
      <c r="A429" s="4"/>
      <c r="B429" s="4"/>
      <c r="C429" s="4"/>
      <c r="D429" s="4"/>
      <c r="E429" s="4"/>
    </row>
    <row r="430" spans="1:5" ht="15.75" customHeight="1" x14ac:dyDescent="0.3">
      <c r="A430" s="4"/>
      <c r="B430" s="4"/>
      <c r="C430" s="4"/>
      <c r="D430" s="4"/>
      <c r="E430" s="4"/>
    </row>
    <row r="431" spans="1:5" ht="15.75" customHeight="1" x14ac:dyDescent="0.3">
      <c r="A431" s="4"/>
      <c r="B431" s="4"/>
      <c r="C431" s="4"/>
      <c r="D431" s="4"/>
      <c r="E431" s="4"/>
    </row>
    <row r="432" spans="1:5" ht="15.75" customHeight="1" x14ac:dyDescent="0.3">
      <c r="A432" s="4"/>
      <c r="B432" s="4"/>
      <c r="C432" s="4"/>
      <c r="D432" s="4"/>
      <c r="E432" s="4"/>
    </row>
    <row r="433" spans="1:5" ht="15.75" customHeight="1" x14ac:dyDescent="0.3">
      <c r="A433" s="4"/>
      <c r="B433" s="4"/>
      <c r="C433" s="4"/>
      <c r="D433" s="4"/>
      <c r="E433" s="4"/>
    </row>
    <row r="434" spans="1:5" ht="15.75" customHeight="1" x14ac:dyDescent="0.3">
      <c r="A434" s="4"/>
      <c r="B434" s="4"/>
      <c r="C434" s="4"/>
      <c r="D434" s="4"/>
      <c r="E434" s="4"/>
    </row>
    <row r="435" spans="1:5" ht="15.75" customHeight="1" x14ac:dyDescent="0.3">
      <c r="A435" s="4"/>
      <c r="B435" s="4"/>
      <c r="C435" s="4"/>
      <c r="D435" s="4"/>
      <c r="E435" s="4"/>
    </row>
    <row r="436" spans="1:5" ht="15.75" customHeight="1" x14ac:dyDescent="0.3">
      <c r="A436" s="4"/>
      <c r="B436" s="4"/>
      <c r="C436" s="4"/>
      <c r="D436" s="4"/>
      <c r="E436" s="4"/>
    </row>
    <row r="437" spans="1:5" ht="15.75" customHeight="1" x14ac:dyDescent="0.3">
      <c r="A437" s="4"/>
      <c r="B437" s="4"/>
      <c r="C437" s="4"/>
      <c r="D437" s="4"/>
      <c r="E437" s="4"/>
    </row>
    <row r="438" spans="1:5" ht="15.75" customHeight="1" x14ac:dyDescent="0.3">
      <c r="A438" s="4"/>
      <c r="B438" s="4"/>
      <c r="C438" s="4"/>
      <c r="D438" s="4"/>
      <c r="E438" s="4"/>
    </row>
    <row r="439" spans="1:5" ht="15.75" customHeight="1" x14ac:dyDescent="0.3">
      <c r="A439" s="4"/>
      <c r="B439" s="4"/>
      <c r="C439" s="4"/>
      <c r="D439" s="4"/>
      <c r="E439" s="4"/>
    </row>
    <row r="440" spans="1:5" ht="15.75" customHeight="1" x14ac:dyDescent="0.3">
      <c r="A440" s="4"/>
      <c r="B440" s="4"/>
      <c r="C440" s="4"/>
      <c r="D440" s="4"/>
      <c r="E440" s="4"/>
    </row>
    <row r="441" spans="1:5" ht="15.75" customHeight="1" x14ac:dyDescent="0.3">
      <c r="A441" s="4"/>
      <c r="B441" s="4"/>
      <c r="C441" s="4"/>
      <c r="D441" s="4"/>
      <c r="E441" s="4"/>
    </row>
    <row r="442" spans="1:5" ht="15.75" customHeight="1" x14ac:dyDescent="0.3">
      <c r="A442" s="4"/>
      <c r="B442" s="4"/>
      <c r="C442" s="4"/>
      <c r="D442" s="4"/>
      <c r="E442" s="4"/>
    </row>
    <row r="443" spans="1:5" ht="15.75" customHeight="1" x14ac:dyDescent="0.3">
      <c r="A443" s="4"/>
      <c r="B443" s="4"/>
      <c r="C443" s="4"/>
      <c r="D443" s="4"/>
      <c r="E443" s="4"/>
    </row>
    <row r="444" spans="1:5" ht="15.75" customHeight="1" x14ac:dyDescent="0.3">
      <c r="A444" s="4"/>
      <c r="B444" s="4"/>
      <c r="C444" s="4"/>
      <c r="D444" s="4"/>
      <c r="E444" s="4"/>
    </row>
    <row r="445" spans="1:5" ht="15.75" customHeight="1" x14ac:dyDescent="0.3">
      <c r="A445" s="4"/>
      <c r="B445" s="4"/>
      <c r="C445" s="4"/>
      <c r="D445" s="4"/>
      <c r="E445" s="4"/>
    </row>
    <row r="446" spans="1:5" ht="15.75" customHeight="1" x14ac:dyDescent="0.3">
      <c r="A446" s="4"/>
      <c r="B446" s="4"/>
      <c r="C446" s="4"/>
      <c r="D446" s="4"/>
      <c r="E446" s="4"/>
    </row>
    <row r="447" spans="1:5" ht="15.75" customHeight="1" x14ac:dyDescent="0.3">
      <c r="A447" s="4"/>
      <c r="B447" s="4"/>
      <c r="C447" s="4"/>
      <c r="D447" s="4"/>
      <c r="E447" s="4"/>
    </row>
    <row r="448" spans="1:5" ht="15.75" customHeight="1" x14ac:dyDescent="0.3">
      <c r="A448" s="4"/>
      <c r="B448" s="4"/>
      <c r="C448" s="4"/>
      <c r="D448" s="4"/>
      <c r="E448" s="4"/>
    </row>
    <row r="449" spans="1:5" ht="15.75" customHeight="1" x14ac:dyDescent="0.3">
      <c r="A449" s="4"/>
      <c r="B449" s="4"/>
      <c r="C449" s="4"/>
      <c r="D449" s="4"/>
      <c r="E449" s="4"/>
    </row>
    <row r="450" spans="1:5" ht="15.75" customHeight="1" x14ac:dyDescent="0.3">
      <c r="A450" s="4"/>
      <c r="B450" s="4"/>
      <c r="C450" s="4"/>
      <c r="D450" s="4"/>
      <c r="E450" s="4"/>
    </row>
    <row r="451" spans="1:5" ht="15.75" customHeight="1" x14ac:dyDescent="0.3">
      <c r="A451" s="4"/>
      <c r="B451" s="4"/>
      <c r="C451" s="4"/>
      <c r="D451" s="4"/>
      <c r="E451" s="4"/>
    </row>
    <row r="452" spans="1:5" ht="15.75" customHeight="1" x14ac:dyDescent="0.3">
      <c r="A452" s="4"/>
      <c r="B452" s="4"/>
      <c r="C452" s="4"/>
      <c r="D452" s="4"/>
      <c r="E452" s="4"/>
    </row>
    <row r="453" spans="1:5" ht="15.75" customHeight="1" x14ac:dyDescent="0.3">
      <c r="A453" s="4"/>
      <c r="B453" s="4"/>
      <c r="C453" s="4"/>
      <c r="D453" s="4"/>
      <c r="E453" s="4"/>
    </row>
    <row r="454" spans="1:5" ht="15.75" customHeight="1" x14ac:dyDescent="0.3">
      <c r="A454" s="4"/>
      <c r="B454" s="4"/>
      <c r="C454" s="4"/>
      <c r="D454" s="4"/>
      <c r="E454" s="4"/>
    </row>
    <row r="455" spans="1:5" ht="15.75" customHeight="1" x14ac:dyDescent="0.3">
      <c r="A455" s="4"/>
      <c r="B455" s="4"/>
      <c r="C455" s="4"/>
      <c r="D455" s="4"/>
      <c r="E455" s="4"/>
    </row>
    <row r="456" spans="1:5" ht="15.75" customHeight="1" x14ac:dyDescent="0.3">
      <c r="A456" s="4"/>
      <c r="B456" s="4"/>
      <c r="C456" s="4"/>
      <c r="D456" s="4"/>
      <c r="E456" s="4"/>
    </row>
    <row r="457" spans="1:5" ht="15.75" customHeight="1" x14ac:dyDescent="0.3">
      <c r="A457" s="4"/>
      <c r="B457" s="4"/>
      <c r="C457" s="4"/>
      <c r="D457" s="4"/>
      <c r="E457" s="4"/>
    </row>
    <row r="458" spans="1:5" ht="15.75" customHeight="1" x14ac:dyDescent="0.3">
      <c r="A458" s="4"/>
      <c r="B458" s="4"/>
      <c r="C458" s="4"/>
      <c r="D458" s="4"/>
      <c r="E458" s="4"/>
    </row>
    <row r="459" spans="1:5" ht="15.75" customHeight="1" x14ac:dyDescent="0.3">
      <c r="A459" s="4"/>
      <c r="B459" s="4"/>
      <c r="C459" s="4"/>
      <c r="D459" s="4"/>
      <c r="E459" s="4"/>
    </row>
    <row r="460" spans="1:5" ht="15.75" customHeight="1" x14ac:dyDescent="0.3">
      <c r="A460" s="4"/>
      <c r="B460" s="4"/>
      <c r="C460" s="4"/>
      <c r="D460" s="4"/>
      <c r="E460" s="4"/>
    </row>
    <row r="461" spans="1:5" ht="15.75" customHeight="1" x14ac:dyDescent="0.3">
      <c r="A461" s="4"/>
      <c r="B461" s="4"/>
      <c r="C461" s="4"/>
      <c r="D461" s="4"/>
      <c r="E461" s="4"/>
    </row>
    <row r="462" spans="1:5" ht="15.75" customHeight="1" x14ac:dyDescent="0.3">
      <c r="A462" s="4"/>
      <c r="B462" s="4"/>
      <c r="C462" s="4"/>
      <c r="D462" s="4"/>
      <c r="E462" s="4"/>
    </row>
    <row r="463" spans="1:5" ht="15.75" customHeight="1" x14ac:dyDescent="0.3">
      <c r="A463" s="4"/>
      <c r="B463" s="4"/>
      <c r="C463" s="4"/>
      <c r="D463" s="4"/>
      <c r="E463" s="4"/>
    </row>
    <row r="464" spans="1:5" ht="15.75" customHeight="1" x14ac:dyDescent="0.3">
      <c r="A464" s="4"/>
      <c r="B464" s="4"/>
      <c r="C464" s="4"/>
      <c r="D464" s="4"/>
      <c r="E464" s="4"/>
    </row>
    <row r="465" spans="1:5" ht="15.75" customHeight="1" x14ac:dyDescent="0.3">
      <c r="A465" s="4"/>
      <c r="B465" s="4"/>
      <c r="C465" s="4"/>
      <c r="D465" s="4"/>
      <c r="E465" s="4"/>
    </row>
    <row r="466" spans="1:5" ht="15.75" customHeight="1" x14ac:dyDescent="0.3">
      <c r="A466" s="4"/>
      <c r="B466" s="4"/>
      <c r="C466" s="4"/>
      <c r="D466" s="4"/>
      <c r="E466" s="4"/>
    </row>
    <row r="467" spans="1:5" ht="15.75" customHeight="1" x14ac:dyDescent="0.3">
      <c r="A467" s="4"/>
      <c r="B467" s="4"/>
      <c r="C467" s="4"/>
      <c r="D467" s="4"/>
      <c r="E467" s="4"/>
    </row>
    <row r="468" spans="1:5" ht="15.75" customHeight="1" x14ac:dyDescent="0.3">
      <c r="A468" s="4"/>
      <c r="B468" s="4"/>
      <c r="C468" s="4"/>
      <c r="D468" s="4"/>
      <c r="E468" s="4"/>
    </row>
    <row r="469" spans="1:5" ht="15.75" customHeight="1" x14ac:dyDescent="0.3">
      <c r="A469" s="4"/>
      <c r="B469" s="4"/>
      <c r="C469" s="4"/>
      <c r="D469" s="4"/>
      <c r="E469" s="4"/>
    </row>
    <row r="470" spans="1:5" ht="15.75" customHeight="1" x14ac:dyDescent="0.3">
      <c r="A470" s="4"/>
      <c r="B470" s="4"/>
      <c r="C470" s="4"/>
      <c r="D470" s="4"/>
      <c r="E470" s="4"/>
    </row>
    <row r="471" spans="1:5" ht="15.75" customHeight="1" x14ac:dyDescent="0.3">
      <c r="A471" s="4"/>
      <c r="B471" s="4"/>
      <c r="C471" s="4"/>
      <c r="D471" s="4"/>
      <c r="E471" s="4"/>
    </row>
    <row r="472" spans="1:5" ht="15.75" customHeight="1" x14ac:dyDescent="0.3">
      <c r="A472" s="4"/>
      <c r="B472" s="4"/>
      <c r="C472" s="4"/>
      <c r="D472" s="4"/>
      <c r="E472" s="4"/>
    </row>
    <row r="473" spans="1:5" ht="15.75" customHeight="1" x14ac:dyDescent="0.3">
      <c r="A473" s="4"/>
      <c r="B473" s="4"/>
      <c r="C473" s="4"/>
      <c r="D473" s="4"/>
      <c r="E473" s="4"/>
    </row>
    <row r="474" spans="1:5" ht="15.75" customHeight="1" x14ac:dyDescent="0.3">
      <c r="A474" s="4"/>
      <c r="B474" s="4"/>
      <c r="C474" s="4"/>
      <c r="D474" s="4"/>
      <c r="E474" s="4"/>
    </row>
    <row r="475" spans="1:5" ht="15.75" customHeight="1" x14ac:dyDescent="0.3">
      <c r="A475" s="4"/>
      <c r="B475" s="4"/>
      <c r="C475" s="4"/>
      <c r="D475" s="4"/>
      <c r="E475" s="4"/>
    </row>
    <row r="476" spans="1:5" ht="15.75" customHeight="1" x14ac:dyDescent="0.3">
      <c r="A476" s="4"/>
      <c r="B476" s="4"/>
      <c r="C476" s="4"/>
      <c r="D476" s="4"/>
      <c r="E476" s="4"/>
    </row>
    <row r="477" spans="1:5" ht="15.75" customHeight="1" x14ac:dyDescent="0.3">
      <c r="A477" s="4"/>
      <c r="B477" s="4"/>
      <c r="C477" s="4"/>
      <c r="D477" s="4"/>
      <c r="E477" s="4"/>
    </row>
    <row r="478" spans="1:5" ht="15.75" customHeight="1" x14ac:dyDescent="0.3">
      <c r="A478" s="4"/>
      <c r="B478" s="4"/>
      <c r="C478" s="4"/>
      <c r="D478" s="4"/>
      <c r="E478" s="4"/>
    </row>
    <row r="479" spans="1:5" ht="15.75" customHeight="1" x14ac:dyDescent="0.3">
      <c r="A479" s="4"/>
      <c r="B479" s="4"/>
      <c r="C479" s="4"/>
      <c r="D479" s="4"/>
      <c r="E479" s="4"/>
    </row>
    <row r="480" spans="1:5" ht="15.75" customHeight="1" x14ac:dyDescent="0.3">
      <c r="A480" s="4"/>
      <c r="B480" s="4"/>
      <c r="C480" s="4"/>
      <c r="D480" s="4"/>
      <c r="E480" s="4"/>
    </row>
    <row r="481" spans="1:5" ht="15.75" customHeight="1" x14ac:dyDescent="0.3">
      <c r="A481" s="4"/>
      <c r="B481" s="4"/>
      <c r="C481" s="4"/>
      <c r="D481" s="4"/>
      <c r="E481" s="4"/>
    </row>
    <row r="482" spans="1:5" ht="15.75" customHeight="1" x14ac:dyDescent="0.3">
      <c r="A482" s="4"/>
      <c r="B482" s="4"/>
      <c r="C482" s="4"/>
      <c r="D482" s="4"/>
      <c r="E482" s="4"/>
    </row>
    <row r="483" spans="1:5" ht="15.75" customHeight="1" x14ac:dyDescent="0.3">
      <c r="A483" s="4"/>
      <c r="B483" s="4"/>
      <c r="C483" s="4"/>
      <c r="D483" s="4"/>
      <c r="E483" s="4"/>
    </row>
    <row r="484" spans="1:5" ht="15.75" customHeight="1" x14ac:dyDescent="0.3">
      <c r="A484" s="4"/>
      <c r="B484" s="4"/>
      <c r="C484" s="4"/>
      <c r="D484" s="4"/>
      <c r="E484" s="4"/>
    </row>
    <row r="485" spans="1:5" ht="15.75" customHeight="1" x14ac:dyDescent="0.3">
      <c r="A485" s="4"/>
      <c r="B485" s="4"/>
      <c r="C485" s="4"/>
      <c r="D485" s="4"/>
      <c r="E485" s="4"/>
    </row>
    <row r="486" spans="1:5" ht="15.75" customHeight="1" x14ac:dyDescent="0.3">
      <c r="A486" s="4"/>
      <c r="B486" s="4"/>
      <c r="C486" s="4"/>
      <c r="D486" s="4"/>
      <c r="E486" s="4"/>
    </row>
    <row r="487" spans="1:5" ht="15.75" customHeight="1" x14ac:dyDescent="0.3">
      <c r="A487" s="4"/>
      <c r="B487" s="4"/>
      <c r="C487" s="4"/>
      <c r="D487" s="4"/>
      <c r="E487" s="4"/>
    </row>
    <row r="488" spans="1:5" ht="15.75" customHeight="1" x14ac:dyDescent="0.3">
      <c r="A488" s="4"/>
      <c r="B488" s="4"/>
      <c r="C488" s="4"/>
      <c r="D488" s="4"/>
      <c r="E488" s="4"/>
    </row>
    <row r="489" spans="1:5" ht="15.75" customHeight="1" x14ac:dyDescent="0.3">
      <c r="A489" s="4"/>
      <c r="B489" s="4"/>
      <c r="C489" s="4"/>
      <c r="D489" s="4"/>
      <c r="E489" s="4"/>
    </row>
    <row r="490" spans="1:5" ht="15.75" customHeight="1" x14ac:dyDescent="0.3">
      <c r="A490" s="4"/>
      <c r="B490" s="4"/>
      <c r="C490" s="4"/>
      <c r="D490" s="4"/>
      <c r="E490" s="4"/>
    </row>
    <row r="491" spans="1:5" ht="15.75" customHeight="1" x14ac:dyDescent="0.3">
      <c r="A491" s="4"/>
      <c r="B491" s="4"/>
      <c r="C491" s="4"/>
      <c r="D491" s="4"/>
      <c r="E491" s="4"/>
    </row>
    <row r="492" spans="1:5" ht="15.75" customHeight="1" x14ac:dyDescent="0.3">
      <c r="A492" s="4"/>
      <c r="B492" s="4"/>
      <c r="C492" s="4"/>
      <c r="D492" s="4"/>
      <c r="E492" s="4"/>
    </row>
    <row r="493" spans="1:5" ht="15.75" customHeight="1" x14ac:dyDescent="0.3">
      <c r="A493" s="4"/>
      <c r="B493" s="4"/>
      <c r="C493" s="4"/>
      <c r="D493" s="4"/>
      <c r="E493" s="4"/>
    </row>
    <row r="494" spans="1:5" ht="15.75" customHeight="1" x14ac:dyDescent="0.3">
      <c r="A494" s="4"/>
      <c r="B494" s="4"/>
      <c r="C494" s="4"/>
      <c r="D494" s="4"/>
      <c r="E494" s="4"/>
    </row>
    <row r="495" spans="1:5" ht="15.75" customHeight="1" x14ac:dyDescent="0.3">
      <c r="A495" s="4"/>
      <c r="B495" s="4"/>
      <c r="C495" s="4"/>
      <c r="D495" s="4"/>
      <c r="E495" s="4"/>
    </row>
    <row r="496" spans="1:5" ht="15.75" customHeight="1" x14ac:dyDescent="0.3">
      <c r="A496" s="4"/>
      <c r="B496" s="4"/>
      <c r="C496" s="4"/>
      <c r="D496" s="4"/>
      <c r="E496" s="4"/>
    </row>
    <row r="497" spans="1:5" ht="15.75" customHeight="1" x14ac:dyDescent="0.3">
      <c r="A497" s="4"/>
      <c r="B497" s="4"/>
      <c r="C497" s="4"/>
      <c r="D497" s="4"/>
      <c r="E497" s="4"/>
    </row>
    <row r="498" spans="1:5" ht="15.75" customHeight="1" x14ac:dyDescent="0.3">
      <c r="A498" s="4"/>
      <c r="B498" s="4"/>
      <c r="C498" s="4"/>
      <c r="D498" s="4"/>
      <c r="E498" s="4"/>
    </row>
    <row r="499" spans="1:5" ht="15.75" customHeight="1" x14ac:dyDescent="0.3">
      <c r="A499" s="4"/>
      <c r="B499" s="4"/>
      <c r="C499" s="4"/>
      <c r="D499" s="4"/>
      <c r="E499" s="4"/>
    </row>
    <row r="500" spans="1:5" ht="15.75" customHeight="1" x14ac:dyDescent="0.3">
      <c r="A500" s="4"/>
      <c r="B500" s="4"/>
      <c r="C500" s="4"/>
      <c r="D500" s="4"/>
      <c r="E500" s="4"/>
    </row>
    <row r="501" spans="1:5" ht="15.75" customHeight="1" x14ac:dyDescent="0.3">
      <c r="A501" s="4"/>
      <c r="B501" s="4"/>
      <c r="C501" s="4"/>
      <c r="D501" s="4"/>
      <c r="E501" s="4"/>
    </row>
    <row r="502" spans="1:5" ht="15.75" customHeight="1" x14ac:dyDescent="0.3">
      <c r="A502" s="4"/>
      <c r="B502" s="4"/>
      <c r="C502" s="4"/>
      <c r="D502" s="4"/>
      <c r="E502" s="4"/>
    </row>
    <row r="503" spans="1:5" ht="15.75" customHeight="1" x14ac:dyDescent="0.3">
      <c r="A503" s="4"/>
      <c r="B503" s="4"/>
      <c r="C503" s="4"/>
      <c r="D503" s="4"/>
      <c r="E503" s="4"/>
    </row>
    <row r="504" spans="1:5" ht="15.75" customHeight="1" x14ac:dyDescent="0.3">
      <c r="A504" s="4"/>
      <c r="B504" s="4"/>
      <c r="C504" s="4"/>
      <c r="D504" s="4"/>
      <c r="E504" s="4"/>
    </row>
    <row r="505" spans="1:5" ht="15.75" customHeight="1" x14ac:dyDescent="0.3">
      <c r="A505" s="4"/>
      <c r="B505" s="4"/>
      <c r="C505" s="4"/>
      <c r="D505" s="4"/>
      <c r="E505" s="4"/>
    </row>
    <row r="506" spans="1:5" ht="15.75" customHeight="1" x14ac:dyDescent="0.3">
      <c r="A506" s="4"/>
      <c r="B506" s="4"/>
      <c r="C506" s="4"/>
      <c r="D506" s="4"/>
      <c r="E506" s="4"/>
    </row>
    <row r="507" spans="1:5" ht="15.75" customHeight="1" x14ac:dyDescent="0.3">
      <c r="A507" s="4"/>
      <c r="B507" s="4"/>
      <c r="C507" s="4"/>
      <c r="D507" s="4"/>
      <c r="E507" s="4"/>
    </row>
    <row r="508" spans="1:5" ht="15.75" customHeight="1" x14ac:dyDescent="0.3">
      <c r="A508" s="4"/>
      <c r="B508" s="4"/>
      <c r="C508" s="4"/>
      <c r="D508" s="4"/>
      <c r="E508" s="4"/>
    </row>
    <row r="509" spans="1:5" ht="15.75" customHeight="1" x14ac:dyDescent="0.3">
      <c r="A509" s="4"/>
      <c r="B509" s="4"/>
      <c r="C509" s="4"/>
      <c r="D509" s="4"/>
      <c r="E509" s="4"/>
    </row>
    <row r="510" spans="1:5" ht="15.75" customHeight="1" x14ac:dyDescent="0.3">
      <c r="A510" s="4"/>
      <c r="B510" s="4"/>
      <c r="C510" s="4"/>
      <c r="D510" s="4"/>
      <c r="E510" s="4"/>
    </row>
    <row r="511" spans="1:5" ht="15.75" customHeight="1" x14ac:dyDescent="0.3">
      <c r="A511" s="4"/>
      <c r="B511" s="4"/>
      <c r="C511" s="4"/>
      <c r="D511" s="4"/>
      <c r="E511" s="4"/>
    </row>
    <row r="512" spans="1:5" ht="15.75" customHeight="1" x14ac:dyDescent="0.3">
      <c r="A512" s="4"/>
      <c r="B512" s="4"/>
      <c r="C512" s="4"/>
      <c r="D512" s="4"/>
      <c r="E512" s="4"/>
    </row>
    <row r="513" spans="1:5" ht="15.75" customHeight="1" x14ac:dyDescent="0.3">
      <c r="A513" s="4"/>
      <c r="B513" s="4"/>
      <c r="C513" s="4"/>
      <c r="D513" s="4"/>
      <c r="E513" s="4"/>
    </row>
    <row r="514" spans="1:5" ht="15.75" customHeight="1" x14ac:dyDescent="0.3">
      <c r="A514" s="4"/>
      <c r="B514" s="4"/>
      <c r="C514" s="4"/>
      <c r="D514" s="4"/>
      <c r="E514" s="4"/>
    </row>
    <row r="515" spans="1:5" ht="15.75" customHeight="1" x14ac:dyDescent="0.3">
      <c r="A515" s="4"/>
      <c r="B515" s="4"/>
      <c r="C515" s="4"/>
      <c r="D515" s="4"/>
      <c r="E515" s="4"/>
    </row>
    <row r="516" spans="1:5" ht="15.75" customHeight="1" x14ac:dyDescent="0.3">
      <c r="A516" s="4"/>
      <c r="B516" s="4"/>
      <c r="C516" s="4"/>
      <c r="D516" s="4"/>
      <c r="E516" s="4"/>
    </row>
    <row r="517" spans="1:5" ht="15.75" customHeight="1" x14ac:dyDescent="0.3">
      <c r="A517" s="4"/>
      <c r="B517" s="4"/>
      <c r="C517" s="4"/>
      <c r="D517" s="4"/>
      <c r="E517" s="4"/>
    </row>
    <row r="518" spans="1:5" ht="15.75" customHeight="1" x14ac:dyDescent="0.3">
      <c r="A518" s="4"/>
      <c r="B518" s="4"/>
      <c r="C518" s="4"/>
      <c r="D518" s="4"/>
      <c r="E518" s="4"/>
    </row>
    <row r="519" spans="1:5" ht="15.75" customHeight="1" x14ac:dyDescent="0.3">
      <c r="A519" s="4"/>
      <c r="B519" s="4"/>
      <c r="C519" s="4"/>
      <c r="D519" s="4"/>
      <c r="E519" s="4"/>
    </row>
    <row r="520" spans="1:5" ht="15.75" customHeight="1" x14ac:dyDescent="0.3">
      <c r="A520" s="4"/>
      <c r="B520" s="4"/>
      <c r="C520" s="4"/>
      <c r="D520" s="4"/>
      <c r="E520" s="4"/>
    </row>
    <row r="521" spans="1:5" ht="15.75" customHeight="1" x14ac:dyDescent="0.3">
      <c r="A521" s="4"/>
      <c r="B521" s="4"/>
      <c r="C521" s="4"/>
      <c r="D521" s="4"/>
      <c r="E521" s="4"/>
    </row>
    <row r="522" spans="1:5" ht="15.75" customHeight="1" x14ac:dyDescent="0.3">
      <c r="A522" s="4"/>
      <c r="B522" s="4"/>
      <c r="C522" s="4"/>
      <c r="D522" s="4"/>
      <c r="E522" s="4"/>
    </row>
    <row r="523" spans="1:5" ht="15.75" customHeight="1" x14ac:dyDescent="0.3">
      <c r="A523" s="4"/>
      <c r="B523" s="4"/>
      <c r="C523" s="4"/>
      <c r="D523" s="4"/>
      <c r="E523" s="4"/>
    </row>
    <row r="524" spans="1:5" ht="15.75" customHeight="1" x14ac:dyDescent="0.3">
      <c r="A524" s="4"/>
      <c r="B524" s="4"/>
      <c r="C524" s="4"/>
      <c r="D524" s="4"/>
      <c r="E524" s="4"/>
    </row>
    <row r="525" spans="1:5" ht="15.75" customHeight="1" x14ac:dyDescent="0.3">
      <c r="A525" s="4"/>
      <c r="B525" s="4"/>
      <c r="C525" s="4"/>
      <c r="D525" s="4"/>
      <c r="E525" s="4"/>
    </row>
    <row r="526" spans="1:5" ht="15.75" customHeight="1" x14ac:dyDescent="0.3">
      <c r="A526" s="4"/>
      <c r="B526" s="4"/>
      <c r="C526" s="4"/>
      <c r="D526" s="4"/>
      <c r="E526" s="4"/>
    </row>
    <row r="527" spans="1:5" ht="15.75" customHeight="1" x14ac:dyDescent="0.3">
      <c r="A527" s="4"/>
      <c r="B527" s="4"/>
      <c r="C527" s="4"/>
      <c r="D527" s="4"/>
      <c r="E527" s="4"/>
    </row>
    <row r="528" spans="1:5" ht="15.75" customHeight="1" x14ac:dyDescent="0.3">
      <c r="A528" s="4"/>
      <c r="B528" s="4"/>
      <c r="C528" s="4"/>
      <c r="D528" s="4"/>
      <c r="E528" s="4"/>
    </row>
    <row r="529" spans="1:5" ht="15.75" customHeight="1" x14ac:dyDescent="0.3">
      <c r="A529" s="4"/>
      <c r="B529" s="4"/>
      <c r="C529" s="4"/>
      <c r="D529" s="4"/>
      <c r="E529" s="4"/>
    </row>
    <row r="530" spans="1:5" ht="15.75" customHeight="1" x14ac:dyDescent="0.3">
      <c r="A530" s="4"/>
      <c r="B530" s="4"/>
      <c r="C530" s="4"/>
      <c r="D530" s="4"/>
      <c r="E530" s="4"/>
    </row>
    <row r="531" spans="1:5" ht="15.75" customHeight="1" x14ac:dyDescent="0.3">
      <c r="A531" s="4"/>
      <c r="B531" s="4"/>
      <c r="C531" s="4"/>
      <c r="D531" s="4"/>
      <c r="E531" s="4"/>
    </row>
    <row r="532" spans="1:5" ht="15.75" customHeight="1" x14ac:dyDescent="0.3">
      <c r="A532" s="4"/>
      <c r="B532" s="4"/>
      <c r="C532" s="4"/>
      <c r="D532" s="4"/>
      <c r="E532" s="4"/>
    </row>
    <row r="533" spans="1:5" ht="15.75" customHeight="1" x14ac:dyDescent="0.3">
      <c r="A533" s="4"/>
      <c r="B533" s="4"/>
      <c r="C533" s="4"/>
      <c r="D533" s="4"/>
      <c r="E533" s="4"/>
    </row>
    <row r="534" spans="1:5" ht="15.75" customHeight="1" x14ac:dyDescent="0.3">
      <c r="A534" s="4"/>
      <c r="B534" s="4"/>
      <c r="C534" s="4"/>
      <c r="D534" s="4"/>
      <c r="E534" s="4"/>
    </row>
    <row r="535" spans="1:5" ht="15.75" customHeight="1" x14ac:dyDescent="0.3">
      <c r="A535" s="4"/>
      <c r="B535" s="4"/>
      <c r="C535" s="4"/>
      <c r="D535" s="4"/>
      <c r="E535" s="4"/>
    </row>
    <row r="536" spans="1:5" ht="15.75" customHeight="1" x14ac:dyDescent="0.3">
      <c r="A536" s="4"/>
      <c r="B536" s="4"/>
      <c r="C536" s="4"/>
      <c r="D536" s="4"/>
      <c r="E536" s="4"/>
    </row>
    <row r="537" spans="1:5" ht="15.75" customHeight="1" x14ac:dyDescent="0.3">
      <c r="A537" s="4"/>
      <c r="B537" s="4"/>
      <c r="C537" s="4"/>
      <c r="D537" s="4"/>
      <c r="E537" s="4"/>
    </row>
    <row r="538" spans="1:5" ht="15.75" customHeight="1" x14ac:dyDescent="0.3">
      <c r="A538" s="4"/>
      <c r="B538" s="4"/>
      <c r="C538" s="4"/>
      <c r="D538" s="4"/>
      <c r="E538" s="4"/>
    </row>
    <row r="539" spans="1:5" ht="15.75" customHeight="1" x14ac:dyDescent="0.3">
      <c r="A539" s="4"/>
      <c r="B539" s="4"/>
      <c r="C539" s="4"/>
      <c r="D539" s="4"/>
      <c r="E539" s="4"/>
    </row>
    <row r="540" spans="1:5" ht="15.75" customHeight="1" x14ac:dyDescent="0.3">
      <c r="A540" s="4"/>
      <c r="B540" s="4"/>
      <c r="C540" s="4"/>
      <c r="D540" s="4"/>
      <c r="E540" s="4"/>
    </row>
    <row r="541" spans="1:5" ht="15.75" customHeight="1" x14ac:dyDescent="0.3">
      <c r="A541" s="4"/>
      <c r="B541" s="4"/>
      <c r="C541" s="4"/>
      <c r="D541" s="4"/>
      <c r="E541" s="4"/>
    </row>
    <row r="542" spans="1:5" ht="15.75" customHeight="1" x14ac:dyDescent="0.3">
      <c r="A542" s="4"/>
      <c r="B542" s="4"/>
      <c r="C542" s="4"/>
      <c r="D542" s="4"/>
      <c r="E542" s="4"/>
    </row>
    <row r="543" spans="1:5" ht="15.75" customHeight="1" x14ac:dyDescent="0.3">
      <c r="A543" s="4"/>
      <c r="B543" s="4"/>
      <c r="C543" s="4"/>
      <c r="D543" s="4"/>
      <c r="E543" s="4"/>
    </row>
    <row r="544" spans="1:5" ht="15.75" customHeight="1" x14ac:dyDescent="0.3">
      <c r="A544" s="4"/>
      <c r="B544" s="4"/>
      <c r="C544" s="4"/>
      <c r="D544" s="4"/>
      <c r="E544" s="4"/>
    </row>
    <row r="545" spans="1:5" ht="15.75" customHeight="1" x14ac:dyDescent="0.3">
      <c r="A545" s="4"/>
      <c r="B545" s="4"/>
      <c r="C545" s="4"/>
      <c r="D545" s="4"/>
      <c r="E545" s="4"/>
    </row>
    <row r="546" spans="1:5" ht="15.75" customHeight="1" x14ac:dyDescent="0.3">
      <c r="A546" s="4"/>
      <c r="B546" s="4"/>
      <c r="C546" s="4"/>
      <c r="D546" s="4"/>
      <c r="E546" s="4"/>
    </row>
    <row r="547" spans="1:5" ht="15.75" customHeight="1" x14ac:dyDescent="0.3">
      <c r="A547" s="4"/>
      <c r="B547" s="4"/>
      <c r="C547" s="4"/>
      <c r="D547" s="4"/>
      <c r="E547" s="4"/>
    </row>
    <row r="548" spans="1:5" ht="15.75" customHeight="1" x14ac:dyDescent="0.3">
      <c r="A548" s="4"/>
      <c r="B548" s="4"/>
      <c r="C548" s="4"/>
      <c r="D548" s="4"/>
      <c r="E548" s="4"/>
    </row>
    <row r="549" spans="1:5" ht="15.75" customHeight="1" x14ac:dyDescent="0.3">
      <c r="A549" s="4"/>
      <c r="B549" s="4"/>
      <c r="C549" s="4"/>
      <c r="D549" s="4"/>
      <c r="E549" s="4"/>
    </row>
    <row r="550" spans="1:5" ht="15.75" customHeight="1" x14ac:dyDescent="0.3">
      <c r="A550" s="4"/>
      <c r="B550" s="4"/>
      <c r="C550" s="4"/>
      <c r="D550" s="4"/>
      <c r="E550" s="4"/>
    </row>
    <row r="551" spans="1:5" ht="15.75" customHeight="1" x14ac:dyDescent="0.3">
      <c r="A551" s="4"/>
      <c r="B551" s="4"/>
      <c r="C551" s="4"/>
      <c r="D551" s="4"/>
      <c r="E551" s="4"/>
    </row>
    <row r="552" spans="1:5" ht="15.75" customHeight="1" x14ac:dyDescent="0.3">
      <c r="A552" s="4"/>
      <c r="B552" s="4"/>
      <c r="C552" s="4"/>
      <c r="D552" s="4"/>
      <c r="E552" s="4"/>
    </row>
    <row r="553" spans="1:5" ht="15.75" customHeight="1" x14ac:dyDescent="0.3">
      <c r="A553" s="4"/>
      <c r="B553" s="4"/>
      <c r="C553" s="4"/>
      <c r="D553" s="4"/>
      <c r="E553" s="4"/>
    </row>
    <row r="554" spans="1:5" ht="15.75" customHeight="1" x14ac:dyDescent="0.3">
      <c r="A554" s="4"/>
      <c r="B554" s="4"/>
      <c r="C554" s="4"/>
      <c r="D554" s="4"/>
      <c r="E554" s="4"/>
    </row>
    <row r="555" spans="1:5" ht="15.75" customHeight="1" x14ac:dyDescent="0.3">
      <c r="A555" s="4"/>
      <c r="B555" s="4"/>
      <c r="C555" s="4"/>
      <c r="D555" s="4"/>
      <c r="E555" s="4"/>
    </row>
    <row r="556" spans="1:5" ht="15.75" customHeight="1" x14ac:dyDescent="0.3">
      <c r="A556" s="4"/>
      <c r="B556" s="4"/>
      <c r="C556" s="4"/>
      <c r="D556" s="4"/>
      <c r="E556" s="4"/>
    </row>
    <row r="557" spans="1:5" ht="15.75" customHeight="1" x14ac:dyDescent="0.3">
      <c r="A557" s="4"/>
      <c r="B557" s="4"/>
      <c r="C557" s="4"/>
      <c r="D557" s="4"/>
      <c r="E557" s="4"/>
    </row>
    <row r="558" spans="1:5" ht="15.75" customHeight="1" x14ac:dyDescent="0.3">
      <c r="A558" s="4"/>
      <c r="B558" s="4"/>
      <c r="C558" s="4"/>
      <c r="D558" s="4"/>
      <c r="E558" s="4"/>
    </row>
    <row r="559" spans="1:5" ht="15.75" customHeight="1" x14ac:dyDescent="0.3">
      <c r="A559" s="4"/>
      <c r="B559" s="4"/>
      <c r="C559" s="4"/>
      <c r="D559" s="4"/>
      <c r="E559" s="4"/>
    </row>
    <row r="560" spans="1:5" ht="15.75" customHeight="1" x14ac:dyDescent="0.3">
      <c r="A560" s="4"/>
      <c r="B560" s="4"/>
      <c r="C560" s="4"/>
      <c r="D560" s="4"/>
      <c r="E560" s="4"/>
    </row>
    <row r="561" spans="1:5" ht="15.75" customHeight="1" x14ac:dyDescent="0.3">
      <c r="A561" s="4"/>
      <c r="B561" s="4"/>
      <c r="C561" s="4"/>
      <c r="D561" s="4"/>
      <c r="E561" s="4"/>
    </row>
    <row r="562" spans="1:5" ht="15.75" customHeight="1" x14ac:dyDescent="0.3">
      <c r="A562" s="4"/>
      <c r="B562" s="4"/>
      <c r="C562" s="4"/>
      <c r="D562" s="4"/>
      <c r="E562" s="4"/>
    </row>
    <row r="563" spans="1:5" ht="15.75" customHeight="1" x14ac:dyDescent="0.3">
      <c r="A563" s="4"/>
      <c r="B563" s="4"/>
      <c r="C563" s="4"/>
      <c r="D563" s="4"/>
      <c r="E563" s="4"/>
    </row>
    <row r="564" spans="1:5" ht="15.75" customHeight="1" x14ac:dyDescent="0.3">
      <c r="A564" s="4"/>
      <c r="B564" s="4"/>
      <c r="C564" s="4"/>
      <c r="D564" s="4"/>
      <c r="E564" s="4"/>
    </row>
    <row r="565" spans="1:5" ht="15.75" customHeight="1" x14ac:dyDescent="0.3">
      <c r="A565" s="4"/>
      <c r="B565" s="4"/>
      <c r="C565" s="4"/>
      <c r="D565" s="4"/>
      <c r="E565" s="4"/>
    </row>
    <row r="566" spans="1:5" ht="15.75" customHeight="1" x14ac:dyDescent="0.3">
      <c r="A566" s="4"/>
      <c r="B566" s="4"/>
      <c r="C566" s="4"/>
      <c r="D566" s="4"/>
      <c r="E566" s="4"/>
    </row>
    <row r="567" spans="1:5" ht="15.75" customHeight="1" x14ac:dyDescent="0.3">
      <c r="A567" s="4"/>
      <c r="B567" s="4"/>
      <c r="C567" s="4"/>
      <c r="D567" s="4"/>
      <c r="E567" s="4"/>
    </row>
    <row r="568" spans="1:5" ht="15.75" customHeight="1" x14ac:dyDescent="0.3">
      <c r="A568" s="4"/>
      <c r="B568" s="4"/>
      <c r="C568" s="4"/>
      <c r="D568" s="4"/>
      <c r="E568" s="4"/>
    </row>
    <row r="569" spans="1:5" ht="15.75" customHeight="1" x14ac:dyDescent="0.3">
      <c r="A569" s="4"/>
      <c r="B569" s="4"/>
      <c r="C569" s="4"/>
      <c r="D569" s="4"/>
      <c r="E569" s="4"/>
    </row>
    <row r="570" spans="1:5" ht="15.75" customHeight="1" x14ac:dyDescent="0.3">
      <c r="A570" s="4"/>
      <c r="B570" s="4"/>
      <c r="C570" s="4"/>
      <c r="D570" s="4"/>
      <c r="E570" s="4"/>
    </row>
    <row r="571" spans="1:5" ht="15.75" customHeight="1" x14ac:dyDescent="0.3">
      <c r="A571" s="4"/>
      <c r="B571" s="4"/>
      <c r="C571" s="4"/>
      <c r="D571" s="4"/>
      <c r="E571" s="4"/>
    </row>
    <row r="572" spans="1:5" ht="15.75" customHeight="1" x14ac:dyDescent="0.3">
      <c r="A572" s="4"/>
      <c r="B572" s="4"/>
      <c r="C572" s="4"/>
      <c r="D572" s="4"/>
      <c r="E572" s="4"/>
    </row>
    <row r="573" spans="1:5" ht="15.75" customHeight="1" x14ac:dyDescent="0.3">
      <c r="A573" s="4"/>
      <c r="B573" s="4"/>
      <c r="C573" s="4"/>
      <c r="D573" s="4"/>
      <c r="E573" s="4"/>
    </row>
    <row r="574" spans="1:5" ht="15.75" customHeight="1" x14ac:dyDescent="0.3">
      <c r="A574" s="4"/>
      <c r="B574" s="4"/>
      <c r="C574" s="4"/>
      <c r="D574" s="4"/>
      <c r="E574" s="4"/>
    </row>
    <row r="575" spans="1:5" ht="15.75" customHeight="1" x14ac:dyDescent="0.3">
      <c r="A575" s="4"/>
      <c r="B575" s="4"/>
      <c r="C575" s="4"/>
      <c r="D575" s="4"/>
      <c r="E575" s="4"/>
    </row>
    <row r="576" spans="1:5" ht="15.75" customHeight="1" x14ac:dyDescent="0.3">
      <c r="A576" s="4"/>
      <c r="B576" s="4"/>
      <c r="C576" s="4"/>
      <c r="D576" s="4"/>
      <c r="E576" s="4"/>
    </row>
    <row r="577" spans="1:5" ht="15.75" customHeight="1" x14ac:dyDescent="0.3">
      <c r="A577" s="4"/>
      <c r="B577" s="4"/>
      <c r="C577" s="4"/>
      <c r="D577" s="4"/>
      <c r="E577" s="4"/>
    </row>
    <row r="578" spans="1:5" ht="15.75" customHeight="1" x14ac:dyDescent="0.3">
      <c r="A578" s="4"/>
      <c r="B578" s="4"/>
      <c r="C578" s="4"/>
      <c r="D578" s="4"/>
      <c r="E578" s="4"/>
    </row>
    <row r="579" spans="1:5" ht="15.75" customHeight="1" x14ac:dyDescent="0.3">
      <c r="A579" s="4"/>
      <c r="B579" s="4"/>
      <c r="C579" s="4"/>
      <c r="D579" s="4"/>
      <c r="E579" s="4"/>
    </row>
    <row r="580" spans="1:5" ht="15.75" customHeight="1" x14ac:dyDescent="0.3">
      <c r="A580" s="4"/>
      <c r="B580" s="4"/>
      <c r="C580" s="4"/>
      <c r="D580" s="4"/>
      <c r="E580" s="4"/>
    </row>
    <row r="581" spans="1:5" ht="15.75" customHeight="1" x14ac:dyDescent="0.3">
      <c r="A581" s="4"/>
      <c r="B581" s="4"/>
      <c r="C581" s="4"/>
      <c r="D581" s="4"/>
      <c r="E581" s="4"/>
    </row>
    <row r="582" spans="1:5" ht="15.75" customHeight="1" x14ac:dyDescent="0.3">
      <c r="A582" s="4"/>
      <c r="B582" s="4"/>
      <c r="C582" s="4"/>
      <c r="D582" s="4"/>
      <c r="E582" s="4"/>
    </row>
    <row r="583" spans="1:5" ht="15.75" customHeight="1" x14ac:dyDescent="0.3">
      <c r="A583" s="4"/>
      <c r="B583" s="4"/>
      <c r="C583" s="4"/>
      <c r="D583" s="4"/>
      <c r="E583" s="4"/>
    </row>
    <row r="584" spans="1:5" ht="15.75" customHeight="1" x14ac:dyDescent="0.3">
      <c r="A584" s="4"/>
      <c r="B584" s="4"/>
      <c r="C584" s="4"/>
      <c r="D584" s="4"/>
      <c r="E584" s="4"/>
    </row>
    <row r="585" spans="1:5" ht="15.75" customHeight="1" x14ac:dyDescent="0.3">
      <c r="A585" s="4"/>
      <c r="B585" s="4"/>
      <c r="C585" s="4"/>
      <c r="D585" s="4"/>
      <c r="E585" s="4"/>
    </row>
    <row r="586" spans="1:5" ht="15.75" customHeight="1" x14ac:dyDescent="0.3">
      <c r="A586" s="4"/>
      <c r="B586" s="4"/>
      <c r="C586" s="4"/>
      <c r="D586" s="4"/>
      <c r="E586" s="4"/>
    </row>
    <row r="587" spans="1:5" ht="15.75" customHeight="1" x14ac:dyDescent="0.3">
      <c r="A587" s="4"/>
      <c r="B587" s="4"/>
      <c r="C587" s="4"/>
      <c r="D587" s="4"/>
      <c r="E587" s="4"/>
    </row>
    <row r="588" spans="1:5" ht="15.75" customHeight="1" x14ac:dyDescent="0.3">
      <c r="A588" s="4"/>
      <c r="B588" s="4"/>
      <c r="C588" s="4"/>
      <c r="D588" s="4"/>
      <c r="E588" s="4"/>
    </row>
    <row r="589" spans="1:5" ht="15.75" customHeight="1" x14ac:dyDescent="0.3">
      <c r="A589" s="4"/>
      <c r="B589" s="4"/>
      <c r="C589" s="4"/>
      <c r="D589" s="4"/>
      <c r="E589" s="4"/>
    </row>
    <row r="590" spans="1:5" ht="15.75" customHeight="1" x14ac:dyDescent="0.3">
      <c r="A590" s="4"/>
      <c r="B590" s="4"/>
      <c r="C590" s="4"/>
      <c r="D590" s="4"/>
      <c r="E590" s="4"/>
    </row>
    <row r="591" spans="1:5" ht="15.75" customHeight="1" x14ac:dyDescent="0.3">
      <c r="A591" s="4"/>
      <c r="B591" s="4"/>
      <c r="C591" s="4"/>
      <c r="D591" s="4"/>
      <c r="E591" s="4"/>
    </row>
    <row r="592" spans="1:5" ht="15.75" customHeight="1" x14ac:dyDescent="0.3">
      <c r="A592" s="4"/>
      <c r="B592" s="4"/>
      <c r="C592" s="4"/>
      <c r="D592" s="4"/>
      <c r="E592" s="4"/>
    </row>
    <row r="593" spans="1:5" ht="15.75" customHeight="1" x14ac:dyDescent="0.3">
      <c r="A593" s="4"/>
      <c r="B593" s="4"/>
      <c r="C593" s="4"/>
      <c r="D593" s="4"/>
      <c r="E593" s="4"/>
    </row>
    <row r="594" spans="1:5" ht="15.75" customHeight="1" x14ac:dyDescent="0.3">
      <c r="A594" s="4"/>
      <c r="B594" s="4"/>
      <c r="C594" s="4"/>
      <c r="D594" s="4"/>
      <c r="E594" s="4"/>
    </row>
    <row r="595" spans="1:5" ht="15.75" customHeight="1" x14ac:dyDescent="0.3">
      <c r="A595" s="4"/>
      <c r="B595" s="4"/>
      <c r="C595" s="4"/>
      <c r="D595" s="4"/>
      <c r="E595" s="4"/>
    </row>
    <row r="596" spans="1:5" ht="15.75" customHeight="1" x14ac:dyDescent="0.3">
      <c r="A596" s="4"/>
      <c r="B596" s="4"/>
      <c r="C596" s="4"/>
      <c r="D596" s="4"/>
      <c r="E596" s="4"/>
    </row>
    <row r="597" spans="1:5" ht="15.75" customHeight="1" x14ac:dyDescent="0.3">
      <c r="A597" s="4"/>
      <c r="B597" s="4"/>
      <c r="C597" s="4"/>
      <c r="D597" s="4"/>
      <c r="E597" s="4"/>
    </row>
    <row r="598" spans="1:5" ht="15.75" customHeight="1" x14ac:dyDescent="0.3">
      <c r="A598" s="4"/>
      <c r="B598" s="4"/>
      <c r="C598" s="4"/>
      <c r="D598" s="4"/>
      <c r="E598" s="4"/>
    </row>
    <row r="599" spans="1:5" ht="15.75" customHeight="1" x14ac:dyDescent="0.3">
      <c r="A599" s="4"/>
      <c r="B599" s="4"/>
      <c r="C599" s="4"/>
      <c r="D599" s="4"/>
      <c r="E599" s="4"/>
    </row>
    <row r="600" spans="1:5" ht="15.75" customHeight="1" x14ac:dyDescent="0.3">
      <c r="A600" s="4"/>
      <c r="B600" s="4"/>
      <c r="C600" s="4"/>
      <c r="D600" s="4"/>
      <c r="E600" s="4"/>
    </row>
    <row r="601" spans="1:5" ht="15.75" customHeight="1" x14ac:dyDescent="0.3">
      <c r="A601" s="4"/>
      <c r="B601" s="4"/>
      <c r="C601" s="4"/>
      <c r="D601" s="4"/>
      <c r="E601" s="4"/>
    </row>
    <row r="602" spans="1:5" ht="15.75" customHeight="1" x14ac:dyDescent="0.3">
      <c r="A602" s="4"/>
      <c r="B602" s="4"/>
      <c r="C602" s="4"/>
      <c r="D602" s="4"/>
      <c r="E602" s="4"/>
    </row>
    <row r="603" spans="1:5" ht="15.75" customHeight="1" x14ac:dyDescent="0.3">
      <c r="A603" s="4"/>
      <c r="B603" s="4"/>
      <c r="C603" s="4"/>
      <c r="D603" s="4"/>
      <c r="E603" s="4"/>
    </row>
    <row r="604" spans="1:5" ht="15.75" customHeight="1" x14ac:dyDescent="0.3">
      <c r="A604" s="4"/>
      <c r="B604" s="4"/>
      <c r="C604" s="4"/>
      <c r="D604" s="4"/>
      <c r="E604" s="4"/>
    </row>
    <row r="605" spans="1:5" ht="15.75" customHeight="1" x14ac:dyDescent="0.3">
      <c r="A605" s="4"/>
      <c r="B605" s="4"/>
      <c r="C605" s="4"/>
      <c r="D605" s="4"/>
      <c r="E605" s="4"/>
    </row>
    <row r="606" spans="1:5" ht="15.75" customHeight="1" x14ac:dyDescent="0.3">
      <c r="A606" s="4"/>
      <c r="B606" s="4"/>
      <c r="C606" s="4"/>
      <c r="D606" s="4"/>
      <c r="E606" s="4"/>
    </row>
    <row r="607" spans="1:5" ht="15.75" customHeight="1" x14ac:dyDescent="0.3">
      <c r="A607" s="4"/>
      <c r="B607" s="4"/>
      <c r="C607" s="4"/>
      <c r="D607" s="4"/>
      <c r="E607" s="4"/>
    </row>
    <row r="608" spans="1:5" ht="15.75" customHeight="1" x14ac:dyDescent="0.3">
      <c r="A608" s="4"/>
      <c r="B608" s="4"/>
      <c r="C608" s="4"/>
      <c r="D608" s="4"/>
      <c r="E608" s="4"/>
    </row>
    <row r="609" spans="1:5" ht="15.75" customHeight="1" x14ac:dyDescent="0.3">
      <c r="A609" s="4"/>
      <c r="B609" s="4"/>
      <c r="C609" s="4"/>
      <c r="D609" s="4"/>
      <c r="E609" s="4"/>
    </row>
    <row r="610" spans="1:5" ht="15.75" customHeight="1" x14ac:dyDescent="0.3">
      <c r="A610" s="4"/>
      <c r="B610" s="4"/>
      <c r="C610" s="4"/>
      <c r="D610" s="4"/>
      <c r="E610" s="4"/>
    </row>
    <row r="611" spans="1:5" ht="15.75" customHeight="1" x14ac:dyDescent="0.3">
      <c r="A611" s="4"/>
      <c r="B611" s="4"/>
      <c r="C611" s="4"/>
      <c r="D611" s="4"/>
      <c r="E611" s="4"/>
    </row>
    <row r="612" spans="1:5" ht="15.75" customHeight="1" x14ac:dyDescent="0.3">
      <c r="A612" s="4"/>
      <c r="B612" s="4"/>
      <c r="C612" s="4"/>
      <c r="D612" s="4"/>
      <c r="E612" s="4"/>
    </row>
    <row r="613" spans="1:5" ht="15.75" customHeight="1" x14ac:dyDescent="0.3">
      <c r="A613" s="4"/>
      <c r="B613" s="4"/>
      <c r="C613" s="4"/>
      <c r="D613" s="4"/>
      <c r="E613" s="4"/>
    </row>
    <row r="614" spans="1:5" ht="15.75" customHeight="1" x14ac:dyDescent="0.3">
      <c r="A614" s="4"/>
      <c r="B614" s="4"/>
      <c r="C614" s="4"/>
      <c r="D614" s="4"/>
      <c r="E614" s="4"/>
    </row>
    <row r="615" spans="1:5" ht="15.75" customHeight="1" x14ac:dyDescent="0.3">
      <c r="A615" s="4"/>
      <c r="B615" s="4"/>
      <c r="C615" s="4"/>
      <c r="D615" s="4"/>
      <c r="E615" s="4"/>
    </row>
    <row r="616" spans="1:5" ht="15.75" customHeight="1" x14ac:dyDescent="0.3">
      <c r="A616" s="4"/>
      <c r="B616" s="4"/>
      <c r="C616" s="4"/>
      <c r="D616" s="4"/>
      <c r="E616" s="4"/>
    </row>
    <row r="617" spans="1:5" ht="15.75" customHeight="1" x14ac:dyDescent="0.3">
      <c r="A617" s="4"/>
      <c r="B617" s="4"/>
      <c r="C617" s="4"/>
      <c r="D617" s="4"/>
      <c r="E617" s="4"/>
    </row>
    <row r="618" spans="1:5" ht="15.75" customHeight="1" x14ac:dyDescent="0.3">
      <c r="A618" s="4"/>
      <c r="B618" s="4"/>
      <c r="C618" s="4"/>
      <c r="D618" s="4"/>
      <c r="E618" s="4"/>
    </row>
    <row r="619" spans="1:5" ht="15.75" customHeight="1" x14ac:dyDescent="0.3">
      <c r="A619" s="4"/>
      <c r="B619" s="4"/>
      <c r="C619" s="4"/>
      <c r="D619" s="4"/>
      <c r="E619" s="4"/>
    </row>
    <row r="620" spans="1:5" ht="15.75" customHeight="1" x14ac:dyDescent="0.3">
      <c r="A620" s="4"/>
      <c r="B620" s="4"/>
      <c r="C620" s="4"/>
      <c r="D620" s="4"/>
      <c r="E620" s="4"/>
    </row>
    <row r="621" spans="1:5" ht="15.75" customHeight="1" x14ac:dyDescent="0.3">
      <c r="A621" s="4"/>
      <c r="B621" s="4"/>
      <c r="C621" s="4"/>
      <c r="D621" s="4"/>
      <c r="E621" s="4"/>
    </row>
    <row r="622" spans="1:5" ht="15.75" customHeight="1" x14ac:dyDescent="0.3">
      <c r="A622" s="4"/>
      <c r="B622" s="4"/>
      <c r="C622" s="4"/>
      <c r="D622" s="4"/>
      <c r="E622" s="4"/>
    </row>
    <row r="623" spans="1:5" ht="15.75" customHeight="1" x14ac:dyDescent="0.3">
      <c r="A623" s="4"/>
      <c r="B623" s="4"/>
      <c r="C623" s="4"/>
      <c r="D623" s="4"/>
      <c r="E623" s="4"/>
    </row>
    <row r="624" spans="1:5" ht="15.75" customHeight="1" x14ac:dyDescent="0.3">
      <c r="A624" s="4"/>
      <c r="B624" s="4"/>
      <c r="C624" s="4"/>
      <c r="D624" s="4"/>
      <c r="E624" s="4"/>
    </row>
    <row r="625" spans="1:5" ht="15.75" customHeight="1" x14ac:dyDescent="0.3">
      <c r="A625" s="4"/>
      <c r="B625" s="4"/>
      <c r="C625" s="4"/>
      <c r="D625" s="4"/>
      <c r="E625" s="4"/>
    </row>
    <row r="626" spans="1:5" ht="15.75" customHeight="1" x14ac:dyDescent="0.3">
      <c r="A626" s="4"/>
      <c r="B626" s="4"/>
      <c r="C626" s="4"/>
      <c r="D626" s="4"/>
      <c r="E626" s="4"/>
    </row>
    <row r="627" spans="1:5" ht="15.75" customHeight="1" x14ac:dyDescent="0.3">
      <c r="A627" s="4"/>
      <c r="B627" s="4"/>
      <c r="C627" s="4"/>
      <c r="D627" s="4"/>
      <c r="E627" s="4"/>
    </row>
    <row r="628" spans="1:5" ht="15.75" customHeight="1" x14ac:dyDescent="0.3">
      <c r="A628" s="4"/>
      <c r="B628" s="4"/>
      <c r="C628" s="4"/>
      <c r="D628" s="4"/>
      <c r="E628" s="4"/>
    </row>
    <row r="629" spans="1:5" ht="15.75" customHeight="1" x14ac:dyDescent="0.3">
      <c r="A629" s="4"/>
      <c r="B629" s="4"/>
      <c r="C629" s="4"/>
      <c r="D629" s="4"/>
      <c r="E629" s="4"/>
    </row>
    <row r="630" spans="1:5" ht="15.75" customHeight="1" x14ac:dyDescent="0.3">
      <c r="A630" s="4"/>
      <c r="B630" s="4"/>
      <c r="C630" s="4"/>
      <c r="D630" s="4"/>
      <c r="E630" s="4"/>
    </row>
    <row r="631" spans="1:5" ht="15.75" customHeight="1" x14ac:dyDescent="0.3">
      <c r="A631" s="4"/>
      <c r="B631" s="4"/>
      <c r="C631" s="4"/>
      <c r="D631" s="4"/>
      <c r="E631" s="4"/>
    </row>
    <row r="632" spans="1:5" ht="15.75" customHeight="1" x14ac:dyDescent="0.3">
      <c r="A632" s="4"/>
      <c r="B632" s="4"/>
      <c r="C632" s="4"/>
      <c r="D632" s="4"/>
      <c r="E632" s="4"/>
    </row>
    <row r="633" spans="1:5" ht="15.75" customHeight="1" x14ac:dyDescent="0.3">
      <c r="A633" s="4"/>
      <c r="B633" s="4"/>
      <c r="C633" s="4"/>
      <c r="D633" s="4"/>
      <c r="E633" s="4"/>
    </row>
    <row r="634" spans="1:5" ht="15.75" customHeight="1" x14ac:dyDescent="0.3">
      <c r="A634" s="4"/>
      <c r="B634" s="4"/>
      <c r="C634" s="4"/>
      <c r="D634" s="4"/>
      <c r="E634" s="4"/>
    </row>
    <row r="635" spans="1:5" ht="15.75" customHeight="1" x14ac:dyDescent="0.3">
      <c r="A635" s="4"/>
      <c r="B635" s="4"/>
      <c r="C635" s="4"/>
      <c r="D635" s="4"/>
      <c r="E635" s="4"/>
    </row>
    <row r="636" spans="1:5" ht="15.75" customHeight="1" x14ac:dyDescent="0.3">
      <c r="A636" s="4"/>
      <c r="B636" s="4"/>
      <c r="C636" s="4"/>
      <c r="D636" s="4"/>
      <c r="E636" s="4"/>
    </row>
    <row r="637" spans="1:5" ht="15.75" customHeight="1" x14ac:dyDescent="0.3">
      <c r="A637" s="4"/>
      <c r="B637" s="4"/>
      <c r="C637" s="4"/>
      <c r="D637" s="4"/>
      <c r="E637" s="4"/>
    </row>
    <row r="638" spans="1:5" ht="15.75" customHeight="1" x14ac:dyDescent="0.3">
      <c r="A638" s="4"/>
      <c r="B638" s="4"/>
      <c r="C638" s="4"/>
      <c r="D638" s="4"/>
      <c r="E638" s="4"/>
    </row>
    <row r="639" spans="1:5" ht="15.75" customHeight="1" x14ac:dyDescent="0.3">
      <c r="A639" s="4"/>
      <c r="B639" s="4"/>
      <c r="C639" s="4"/>
      <c r="D639" s="4"/>
      <c r="E639" s="4"/>
    </row>
    <row r="640" spans="1:5" ht="15.75" customHeight="1" x14ac:dyDescent="0.3">
      <c r="A640" s="4"/>
      <c r="B640" s="4"/>
      <c r="C640" s="4"/>
      <c r="D640" s="4"/>
      <c r="E640" s="4"/>
    </row>
    <row r="641" spans="1:5" ht="15.75" customHeight="1" x14ac:dyDescent="0.3">
      <c r="A641" s="4"/>
      <c r="B641" s="4"/>
      <c r="C641" s="4"/>
      <c r="D641" s="4"/>
      <c r="E641" s="4"/>
    </row>
    <row r="642" spans="1:5" ht="15.75" customHeight="1" x14ac:dyDescent="0.3">
      <c r="A642" s="4"/>
      <c r="B642" s="4"/>
      <c r="C642" s="4"/>
      <c r="D642" s="4"/>
      <c r="E642" s="4"/>
    </row>
    <row r="643" spans="1:5" ht="15.75" customHeight="1" x14ac:dyDescent="0.3">
      <c r="A643" s="4"/>
      <c r="B643" s="4"/>
      <c r="C643" s="4"/>
      <c r="D643" s="4"/>
      <c r="E643" s="4"/>
    </row>
    <row r="644" spans="1:5" ht="15.75" customHeight="1" x14ac:dyDescent="0.3">
      <c r="A644" s="4"/>
      <c r="B644" s="4"/>
      <c r="C644" s="4"/>
      <c r="D644" s="4"/>
      <c r="E644" s="4"/>
    </row>
    <row r="645" spans="1:5" ht="15.75" customHeight="1" x14ac:dyDescent="0.3">
      <c r="A645" s="4"/>
      <c r="B645" s="4"/>
      <c r="C645" s="4"/>
      <c r="D645" s="4"/>
      <c r="E645" s="4"/>
    </row>
    <row r="646" spans="1:5" ht="15.75" customHeight="1" x14ac:dyDescent="0.3">
      <c r="A646" s="4"/>
      <c r="B646" s="4"/>
      <c r="C646" s="4"/>
      <c r="D646" s="4"/>
      <c r="E646" s="4"/>
    </row>
    <row r="647" spans="1:5" ht="15.75" customHeight="1" x14ac:dyDescent="0.3">
      <c r="A647" s="4"/>
      <c r="B647" s="4"/>
      <c r="C647" s="4"/>
      <c r="D647" s="4"/>
      <c r="E647" s="4"/>
    </row>
    <row r="648" spans="1:5" ht="15.75" customHeight="1" x14ac:dyDescent="0.3">
      <c r="A648" s="4"/>
      <c r="B648" s="4"/>
      <c r="C648" s="4"/>
      <c r="D648" s="4"/>
      <c r="E648" s="4"/>
    </row>
    <row r="649" spans="1:5" ht="15.75" customHeight="1" x14ac:dyDescent="0.3">
      <c r="A649" s="4"/>
      <c r="B649" s="4"/>
      <c r="C649" s="4"/>
      <c r="D649" s="4"/>
      <c r="E649" s="4"/>
    </row>
    <row r="650" spans="1:5" ht="15.75" customHeight="1" x14ac:dyDescent="0.3">
      <c r="A650" s="4"/>
      <c r="B650" s="4"/>
      <c r="C650" s="4"/>
      <c r="D650" s="4"/>
      <c r="E650" s="4"/>
    </row>
    <row r="651" spans="1:5" ht="15.75" customHeight="1" x14ac:dyDescent="0.3">
      <c r="A651" s="4"/>
      <c r="B651" s="4"/>
      <c r="C651" s="4"/>
      <c r="D651" s="4"/>
      <c r="E651" s="4"/>
    </row>
    <row r="652" spans="1:5" ht="15.75" customHeight="1" x14ac:dyDescent="0.3">
      <c r="A652" s="4"/>
      <c r="B652" s="4"/>
      <c r="C652" s="4"/>
      <c r="D652" s="4"/>
      <c r="E652" s="4"/>
    </row>
    <row r="653" spans="1:5" ht="15.75" customHeight="1" x14ac:dyDescent="0.3">
      <c r="A653" s="4"/>
      <c r="B653" s="4"/>
      <c r="C653" s="4"/>
      <c r="D653" s="4"/>
      <c r="E653" s="4"/>
    </row>
    <row r="654" spans="1:5" ht="15.75" customHeight="1" x14ac:dyDescent="0.3">
      <c r="A654" s="4"/>
      <c r="B654" s="4"/>
      <c r="C654" s="4"/>
      <c r="D654" s="4"/>
      <c r="E654" s="4"/>
    </row>
    <row r="655" spans="1:5" ht="15.75" customHeight="1" x14ac:dyDescent="0.3">
      <c r="A655" s="4"/>
      <c r="B655" s="4"/>
      <c r="C655" s="4"/>
      <c r="D655" s="4"/>
      <c r="E655" s="4"/>
    </row>
    <row r="656" spans="1:5" ht="15.75" customHeight="1" x14ac:dyDescent="0.3">
      <c r="A656" s="4"/>
      <c r="B656" s="4"/>
      <c r="C656" s="4"/>
      <c r="D656" s="4"/>
      <c r="E656" s="4"/>
    </row>
    <row r="657" spans="1:5" ht="15.75" customHeight="1" x14ac:dyDescent="0.3">
      <c r="A657" s="4"/>
      <c r="B657" s="4"/>
      <c r="C657" s="4"/>
      <c r="D657" s="4"/>
      <c r="E657" s="4"/>
    </row>
    <row r="658" spans="1:5" ht="15.75" customHeight="1" x14ac:dyDescent="0.3">
      <c r="A658" s="4"/>
      <c r="B658" s="4"/>
      <c r="C658" s="4"/>
      <c r="D658" s="4"/>
      <c r="E658" s="4"/>
    </row>
    <row r="659" spans="1:5" ht="15.75" customHeight="1" x14ac:dyDescent="0.3">
      <c r="A659" s="4"/>
      <c r="B659" s="4"/>
      <c r="C659" s="4"/>
      <c r="D659" s="4"/>
      <c r="E659" s="4"/>
    </row>
    <row r="660" spans="1:5" ht="15.75" customHeight="1" x14ac:dyDescent="0.3">
      <c r="A660" s="4"/>
      <c r="B660" s="4"/>
      <c r="C660" s="4"/>
      <c r="D660" s="4"/>
      <c r="E660" s="4"/>
    </row>
    <row r="661" spans="1:5" ht="15.75" customHeight="1" x14ac:dyDescent="0.3">
      <c r="A661" s="4"/>
      <c r="B661" s="4"/>
      <c r="C661" s="4"/>
      <c r="D661" s="4"/>
      <c r="E661" s="4"/>
    </row>
    <row r="662" spans="1:5" ht="15.75" customHeight="1" x14ac:dyDescent="0.3">
      <c r="A662" s="4"/>
      <c r="B662" s="4"/>
      <c r="C662" s="4"/>
      <c r="D662" s="4"/>
      <c r="E662" s="4"/>
    </row>
    <row r="663" spans="1:5" ht="15.75" customHeight="1" x14ac:dyDescent="0.3">
      <c r="A663" s="4"/>
      <c r="B663" s="4"/>
      <c r="C663" s="4"/>
      <c r="D663" s="4"/>
      <c r="E663" s="4"/>
    </row>
    <row r="664" spans="1:5" ht="15.75" customHeight="1" x14ac:dyDescent="0.3">
      <c r="A664" s="4"/>
      <c r="B664" s="4"/>
      <c r="C664" s="4"/>
      <c r="D664" s="4"/>
      <c r="E664" s="4"/>
    </row>
    <row r="665" spans="1:5" ht="15.75" customHeight="1" x14ac:dyDescent="0.3">
      <c r="A665" s="4"/>
      <c r="B665" s="4"/>
      <c r="C665" s="4"/>
      <c r="D665" s="4"/>
      <c r="E665" s="4"/>
    </row>
    <row r="666" spans="1:5" ht="15.75" customHeight="1" x14ac:dyDescent="0.3">
      <c r="A666" s="4"/>
      <c r="B666" s="4"/>
      <c r="C666" s="4"/>
      <c r="D666" s="4"/>
      <c r="E666" s="4"/>
    </row>
    <row r="667" spans="1:5" ht="15.75" customHeight="1" x14ac:dyDescent="0.3">
      <c r="A667" s="4"/>
      <c r="B667" s="4"/>
      <c r="C667" s="4"/>
      <c r="D667" s="4"/>
      <c r="E667" s="4"/>
    </row>
    <row r="668" spans="1:5" ht="15.75" customHeight="1" x14ac:dyDescent="0.3">
      <c r="A668" s="4"/>
      <c r="B668" s="4"/>
      <c r="C668" s="4"/>
      <c r="D668" s="4"/>
      <c r="E668" s="4"/>
    </row>
    <row r="669" spans="1:5" ht="15.75" customHeight="1" x14ac:dyDescent="0.3">
      <c r="A669" s="4"/>
      <c r="B669" s="4"/>
      <c r="C669" s="4"/>
      <c r="D669" s="4"/>
      <c r="E669" s="4"/>
    </row>
    <row r="670" spans="1:5" ht="15.75" customHeight="1" x14ac:dyDescent="0.3">
      <c r="A670" s="4"/>
      <c r="B670" s="4"/>
      <c r="C670" s="4"/>
      <c r="D670" s="4"/>
      <c r="E670" s="4"/>
    </row>
    <row r="671" spans="1:5" ht="15.75" customHeight="1" x14ac:dyDescent="0.3">
      <c r="A671" s="4"/>
      <c r="B671" s="4"/>
      <c r="C671" s="4"/>
      <c r="D671" s="4"/>
      <c r="E671" s="4"/>
    </row>
    <row r="672" spans="1:5" ht="15.75" customHeight="1" x14ac:dyDescent="0.3">
      <c r="A672" s="4"/>
      <c r="B672" s="4"/>
      <c r="C672" s="4"/>
      <c r="D672" s="4"/>
      <c r="E672" s="4"/>
    </row>
    <row r="673" spans="1:5" ht="15.75" customHeight="1" x14ac:dyDescent="0.3">
      <c r="A673" s="4"/>
      <c r="B673" s="4"/>
      <c r="C673" s="4"/>
      <c r="D673" s="4"/>
      <c r="E673" s="4"/>
    </row>
    <row r="674" spans="1:5" ht="15.75" customHeight="1" x14ac:dyDescent="0.3">
      <c r="A674" s="4"/>
      <c r="B674" s="4"/>
      <c r="C674" s="4"/>
      <c r="D674" s="4"/>
      <c r="E674" s="4"/>
    </row>
    <row r="675" spans="1:5" ht="15.75" customHeight="1" x14ac:dyDescent="0.3">
      <c r="A675" s="4"/>
      <c r="B675" s="4"/>
      <c r="C675" s="4"/>
      <c r="D675" s="4"/>
      <c r="E675" s="4"/>
    </row>
    <row r="676" spans="1:5" ht="15.75" customHeight="1" x14ac:dyDescent="0.3">
      <c r="A676" s="4"/>
      <c r="B676" s="4"/>
      <c r="C676" s="4"/>
      <c r="D676" s="4"/>
      <c r="E676" s="4"/>
    </row>
    <row r="677" spans="1:5" ht="15.75" customHeight="1" x14ac:dyDescent="0.3">
      <c r="A677" s="4"/>
      <c r="B677" s="4"/>
      <c r="C677" s="4"/>
      <c r="D677" s="4"/>
      <c r="E677" s="4"/>
    </row>
    <row r="678" spans="1:5" ht="15.75" customHeight="1" x14ac:dyDescent="0.3">
      <c r="A678" s="4"/>
      <c r="B678" s="4"/>
      <c r="C678" s="4"/>
      <c r="D678" s="4"/>
      <c r="E678" s="4"/>
    </row>
    <row r="679" spans="1:5" ht="15.75" customHeight="1" x14ac:dyDescent="0.3">
      <c r="A679" s="4"/>
      <c r="B679" s="4"/>
      <c r="C679" s="4"/>
      <c r="D679" s="4"/>
      <c r="E679" s="4"/>
    </row>
    <row r="680" spans="1:5" ht="15.75" customHeight="1" x14ac:dyDescent="0.3">
      <c r="A680" s="4"/>
      <c r="B680" s="4"/>
      <c r="C680" s="4"/>
      <c r="D680" s="4"/>
      <c r="E680" s="4"/>
    </row>
    <row r="681" spans="1:5" ht="15.75" customHeight="1" x14ac:dyDescent="0.3">
      <c r="A681" s="4"/>
      <c r="B681" s="4"/>
      <c r="C681" s="4"/>
      <c r="D681" s="4"/>
      <c r="E681" s="4"/>
    </row>
    <row r="682" spans="1:5" ht="15.75" customHeight="1" x14ac:dyDescent="0.3">
      <c r="A682" s="4"/>
      <c r="B682" s="4"/>
      <c r="C682" s="4"/>
      <c r="D682" s="4"/>
      <c r="E682" s="4"/>
    </row>
    <row r="683" spans="1:5" ht="15.75" customHeight="1" x14ac:dyDescent="0.3">
      <c r="A683" s="4"/>
      <c r="B683" s="4"/>
      <c r="C683" s="4"/>
      <c r="D683" s="4"/>
      <c r="E683" s="4"/>
    </row>
    <row r="684" spans="1:5" ht="15.75" customHeight="1" x14ac:dyDescent="0.3">
      <c r="A684" s="4"/>
      <c r="B684" s="4"/>
      <c r="C684" s="4"/>
      <c r="D684" s="4"/>
      <c r="E684" s="4"/>
    </row>
    <row r="685" spans="1:5" ht="15.75" customHeight="1" x14ac:dyDescent="0.3">
      <c r="A685" s="4"/>
      <c r="B685" s="4"/>
      <c r="C685" s="4"/>
      <c r="D685" s="4"/>
      <c r="E685" s="4"/>
    </row>
    <row r="686" spans="1:5" ht="15.75" customHeight="1" x14ac:dyDescent="0.3">
      <c r="A686" s="4"/>
      <c r="B686" s="4"/>
      <c r="C686" s="4"/>
      <c r="D686" s="4"/>
      <c r="E686" s="4"/>
    </row>
    <row r="687" spans="1:5" ht="15.75" customHeight="1" x14ac:dyDescent="0.3">
      <c r="A687" s="4"/>
      <c r="B687" s="4"/>
      <c r="C687" s="4"/>
      <c r="D687" s="4"/>
      <c r="E687" s="4"/>
    </row>
    <row r="688" spans="1:5" ht="15.75" customHeight="1" x14ac:dyDescent="0.3">
      <c r="A688" s="4"/>
      <c r="B688" s="4"/>
      <c r="C688" s="4"/>
      <c r="D688" s="4"/>
      <c r="E688" s="4"/>
    </row>
    <row r="689" spans="1:5" ht="15.75" customHeight="1" x14ac:dyDescent="0.3">
      <c r="A689" s="4"/>
      <c r="B689" s="4"/>
      <c r="C689" s="4"/>
      <c r="D689" s="4"/>
      <c r="E689" s="4"/>
    </row>
    <row r="690" spans="1:5" ht="15.75" customHeight="1" x14ac:dyDescent="0.3">
      <c r="A690" s="4"/>
      <c r="B690" s="4"/>
      <c r="C690" s="4"/>
      <c r="D690" s="4"/>
      <c r="E690" s="4"/>
    </row>
    <row r="691" spans="1:5" ht="15.75" customHeight="1" x14ac:dyDescent="0.3">
      <c r="A691" s="4"/>
      <c r="B691" s="4"/>
      <c r="C691" s="4"/>
      <c r="D691" s="4"/>
      <c r="E691" s="4"/>
    </row>
    <row r="692" spans="1:5" ht="15.75" customHeight="1" x14ac:dyDescent="0.3">
      <c r="A692" s="4"/>
      <c r="B692" s="4"/>
      <c r="C692" s="4"/>
      <c r="D692" s="4"/>
      <c r="E692" s="4"/>
    </row>
    <row r="693" spans="1:5" ht="15.75" customHeight="1" x14ac:dyDescent="0.3">
      <c r="A693" s="4"/>
      <c r="B693" s="4"/>
      <c r="C693" s="4"/>
      <c r="D693" s="4"/>
      <c r="E693" s="4"/>
    </row>
    <row r="694" spans="1:5" ht="15.75" customHeight="1" x14ac:dyDescent="0.3">
      <c r="A694" s="4"/>
      <c r="B694" s="4"/>
      <c r="C694" s="4"/>
      <c r="D694" s="4"/>
      <c r="E694" s="4"/>
    </row>
    <row r="695" spans="1:5" ht="15.75" customHeight="1" x14ac:dyDescent="0.3">
      <c r="A695" s="4"/>
      <c r="B695" s="4"/>
      <c r="C695" s="4"/>
      <c r="D695" s="4"/>
      <c r="E695" s="4"/>
    </row>
    <row r="696" spans="1:5" ht="15.75" customHeight="1" x14ac:dyDescent="0.3">
      <c r="A696" s="4"/>
      <c r="B696" s="4"/>
      <c r="C696" s="4"/>
      <c r="D696" s="4"/>
      <c r="E696" s="4"/>
    </row>
    <row r="697" spans="1:5" ht="15.75" customHeight="1" x14ac:dyDescent="0.3">
      <c r="A697" s="4"/>
      <c r="B697" s="4"/>
      <c r="C697" s="4"/>
      <c r="D697" s="4"/>
      <c r="E697" s="4"/>
    </row>
    <row r="698" spans="1:5" ht="15.75" customHeight="1" x14ac:dyDescent="0.3">
      <c r="A698" s="4"/>
      <c r="B698" s="4"/>
      <c r="C698" s="4"/>
      <c r="D698" s="4"/>
      <c r="E698" s="4"/>
    </row>
    <row r="699" spans="1:5" ht="15.75" customHeight="1" x14ac:dyDescent="0.3">
      <c r="A699" s="4"/>
      <c r="B699" s="4"/>
      <c r="C699" s="4"/>
      <c r="D699" s="4"/>
      <c r="E699" s="4"/>
    </row>
    <row r="700" spans="1:5" ht="15.75" customHeight="1" x14ac:dyDescent="0.3">
      <c r="A700" s="4"/>
      <c r="B700" s="4"/>
      <c r="C700" s="4"/>
      <c r="D700" s="4"/>
      <c r="E700" s="4"/>
    </row>
    <row r="701" spans="1:5" ht="15.75" customHeight="1" x14ac:dyDescent="0.3">
      <c r="A701" s="4"/>
      <c r="B701" s="4"/>
      <c r="C701" s="4"/>
      <c r="D701" s="4"/>
      <c r="E701" s="4"/>
    </row>
    <row r="702" spans="1:5" ht="15.75" customHeight="1" x14ac:dyDescent="0.3">
      <c r="A702" s="4"/>
      <c r="B702" s="4"/>
      <c r="C702" s="4"/>
      <c r="D702" s="4"/>
      <c r="E702" s="4"/>
    </row>
    <row r="703" spans="1:5" ht="15.75" customHeight="1" x14ac:dyDescent="0.3">
      <c r="A703" s="4"/>
      <c r="B703" s="4"/>
      <c r="C703" s="4"/>
      <c r="D703" s="4"/>
      <c r="E703" s="4"/>
    </row>
    <row r="704" spans="1:5" ht="15.75" customHeight="1" x14ac:dyDescent="0.3">
      <c r="A704" s="4"/>
      <c r="B704" s="4"/>
      <c r="C704" s="4"/>
      <c r="D704" s="4"/>
      <c r="E704" s="4"/>
    </row>
    <row r="705" spans="1:5" ht="15.75" customHeight="1" x14ac:dyDescent="0.3">
      <c r="A705" s="4"/>
      <c r="B705" s="4"/>
      <c r="C705" s="4"/>
      <c r="D705" s="4"/>
      <c r="E705" s="4"/>
    </row>
    <row r="706" spans="1:5" ht="15.75" customHeight="1" x14ac:dyDescent="0.3">
      <c r="A706" s="4"/>
      <c r="B706" s="4"/>
      <c r="C706" s="4"/>
      <c r="D706" s="4"/>
      <c r="E706" s="4"/>
    </row>
    <row r="707" spans="1:5" ht="15.75" customHeight="1" x14ac:dyDescent="0.3">
      <c r="A707" s="4"/>
      <c r="B707" s="4"/>
      <c r="C707" s="4"/>
      <c r="D707" s="4"/>
      <c r="E707" s="4"/>
    </row>
    <row r="708" spans="1:5" ht="15.75" customHeight="1" x14ac:dyDescent="0.3">
      <c r="A708" s="4"/>
      <c r="B708" s="4"/>
      <c r="C708" s="4"/>
      <c r="D708" s="4"/>
      <c r="E708" s="4"/>
    </row>
    <row r="709" spans="1:5" ht="15.75" customHeight="1" x14ac:dyDescent="0.3">
      <c r="A709" s="4"/>
      <c r="B709" s="4"/>
      <c r="C709" s="4"/>
      <c r="D709" s="4"/>
      <c r="E709" s="4"/>
    </row>
    <row r="710" spans="1:5" ht="15.75" customHeight="1" x14ac:dyDescent="0.3">
      <c r="A710" s="4"/>
      <c r="B710" s="4"/>
      <c r="C710" s="4"/>
      <c r="D710" s="4"/>
      <c r="E710" s="4"/>
    </row>
    <row r="711" spans="1:5" ht="15.75" customHeight="1" x14ac:dyDescent="0.3">
      <c r="A711" s="4"/>
      <c r="B711" s="4"/>
      <c r="C711" s="4"/>
      <c r="D711" s="4"/>
      <c r="E711" s="4"/>
    </row>
    <row r="712" spans="1:5" ht="15.75" customHeight="1" x14ac:dyDescent="0.3">
      <c r="A712" s="4"/>
      <c r="B712" s="4"/>
      <c r="C712" s="4"/>
      <c r="D712" s="4"/>
      <c r="E712" s="4"/>
    </row>
    <row r="713" spans="1:5" ht="15.75" customHeight="1" x14ac:dyDescent="0.3">
      <c r="A713" s="4"/>
      <c r="B713" s="4"/>
      <c r="C713" s="4"/>
      <c r="D713" s="4"/>
      <c r="E713" s="4"/>
    </row>
    <row r="714" spans="1:5" ht="15.75" customHeight="1" x14ac:dyDescent="0.3">
      <c r="A714" s="4"/>
      <c r="B714" s="4"/>
      <c r="C714" s="4"/>
      <c r="D714" s="4"/>
      <c r="E714" s="4"/>
    </row>
    <row r="715" spans="1:5" ht="15.75" customHeight="1" x14ac:dyDescent="0.3">
      <c r="A715" s="4"/>
      <c r="B715" s="4"/>
      <c r="C715" s="4"/>
      <c r="D715" s="4"/>
      <c r="E715" s="4"/>
    </row>
    <row r="716" spans="1:5" ht="15.75" customHeight="1" x14ac:dyDescent="0.3">
      <c r="A716" s="4"/>
      <c r="B716" s="4"/>
      <c r="C716" s="4"/>
      <c r="D716" s="4"/>
      <c r="E716" s="4"/>
    </row>
    <row r="717" spans="1:5" ht="15.75" customHeight="1" x14ac:dyDescent="0.3">
      <c r="A717" s="4"/>
      <c r="B717" s="4"/>
      <c r="C717" s="4"/>
      <c r="D717" s="4"/>
      <c r="E717" s="4"/>
    </row>
    <row r="718" spans="1:5" ht="15.75" customHeight="1" x14ac:dyDescent="0.3">
      <c r="A718" s="4"/>
      <c r="B718" s="4"/>
      <c r="C718" s="4"/>
      <c r="D718" s="4"/>
      <c r="E718" s="4"/>
    </row>
    <row r="719" spans="1:5" ht="15.75" customHeight="1" x14ac:dyDescent="0.3">
      <c r="A719" s="4"/>
      <c r="B719" s="4"/>
      <c r="C719" s="4"/>
      <c r="D719" s="4"/>
      <c r="E719" s="4"/>
    </row>
    <row r="720" spans="1:5" ht="15.75" customHeight="1" x14ac:dyDescent="0.3">
      <c r="A720" s="4"/>
      <c r="B720" s="4"/>
      <c r="C720" s="4"/>
      <c r="D720" s="4"/>
      <c r="E720" s="4"/>
    </row>
    <row r="721" spans="1:5" ht="15.75" customHeight="1" x14ac:dyDescent="0.3">
      <c r="A721" s="4"/>
      <c r="B721" s="4"/>
      <c r="C721" s="4"/>
      <c r="D721" s="4"/>
      <c r="E721" s="4"/>
    </row>
    <row r="722" spans="1:5" ht="15.75" customHeight="1" x14ac:dyDescent="0.3">
      <c r="A722" s="4"/>
      <c r="B722" s="4"/>
      <c r="C722" s="4"/>
      <c r="D722" s="4"/>
      <c r="E722" s="4"/>
    </row>
    <row r="723" spans="1:5" ht="15.75" customHeight="1" x14ac:dyDescent="0.3">
      <c r="A723" s="4"/>
      <c r="B723" s="4"/>
      <c r="C723" s="4"/>
      <c r="D723" s="4"/>
      <c r="E723" s="4"/>
    </row>
    <row r="724" spans="1:5" ht="15.75" customHeight="1" x14ac:dyDescent="0.3">
      <c r="A724" s="4"/>
      <c r="B724" s="4"/>
      <c r="C724" s="4"/>
      <c r="D724" s="4"/>
      <c r="E724" s="4"/>
    </row>
    <row r="725" spans="1:5" ht="15.75" customHeight="1" x14ac:dyDescent="0.3">
      <c r="A725" s="4"/>
      <c r="B725" s="4"/>
      <c r="C725" s="4"/>
      <c r="D725" s="4"/>
      <c r="E725" s="4"/>
    </row>
    <row r="726" spans="1:5" ht="15.75" customHeight="1" x14ac:dyDescent="0.3">
      <c r="A726" s="4"/>
      <c r="B726" s="4"/>
      <c r="C726" s="4"/>
      <c r="D726" s="4"/>
      <c r="E726" s="4"/>
    </row>
    <row r="727" spans="1:5" ht="15.75" customHeight="1" x14ac:dyDescent="0.3">
      <c r="A727" s="4"/>
      <c r="B727" s="4"/>
      <c r="C727" s="4"/>
      <c r="D727" s="4"/>
      <c r="E727" s="4"/>
    </row>
    <row r="728" spans="1:5" ht="15.75" customHeight="1" x14ac:dyDescent="0.3">
      <c r="A728" s="4"/>
      <c r="B728" s="4"/>
      <c r="C728" s="4"/>
      <c r="D728" s="4"/>
      <c r="E728" s="4"/>
    </row>
    <row r="729" spans="1:5" ht="15.75" customHeight="1" x14ac:dyDescent="0.3">
      <c r="A729" s="4"/>
      <c r="B729" s="4"/>
      <c r="C729" s="4"/>
      <c r="D729" s="4"/>
      <c r="E729" s="4"/>
    </row>
    <row r="730" spans="1:5" ht="15.75" customHeight="1" x14ac:dyDescent="0.3">
      <c r="A730" s="4"/>
      <c r="B730" s="4"/>
      <c r="C730" s="4"/>
      <c r="D730" s="4"/>
      <c r="E730" s="4"/>
    </row>
    <row r="731" spans="1:5" ht="15.75" customHeight="1" x14ac:dyDescent="0.3">
      <c r="A731" s="4"/>
      <c r="B731" s="4"/>
      <c r="C731" s="4"/>
      <c r="D731" s="4"/>
      <c r="E731" s="4"/>
    </row>
    <row r="732" spans="1:5" ht="15.75" customHeight="1" x14ac:dyDescent="0.3">
      <c r="A732" s="4"/>
      <c r="B732" s="4"/>
      <c r="C732" s="4"/>
      <c r="D732" s="4"/>
      <c r="E732" s="4"/>
    </row>
    <row r="733" spans="1:5" ht="15.75" customHeight="1" x14ac:dyDescent="0.3">
      <c r="A733" s="4"/>
      <c r="B733" s="4"/>
      <c r="C733" s="4"/>
      <c r="D733" s="4"/>
      <c r="E733" s="4"/>
    </row>
    <row r="734" spans="1:5" ht="15.75" customHeight="1" x14ac:dyDescent="0.3">
      <c r="A734" s="4"/>
      <c r="B734" s="4"/>
      <c r="C734" s="4"/>
      <c r="D734" s="4"/>
      <c r="E734" s="4"/>
    </row>
    <row r="735" spans="1:5" ht="15.75" customHeight="1" x14ac:dyDescent="0.3">
      <c r="A735" s="4"/>
      <c r="B735" s="4"/>
      <c r="C735" s="4"/>
      <c r="D735" s="4"/>
      <c r="E735" s="4"/>
    </row>
    <row r="736" spans="1:5" ht="15.75" customHeight="1" x14ac:dyDescent="0.3">
      <c r="A736" s="4"/>
      <c r="B736" s="4"/>
      <c r="C736" s="4"/>
      <c r="D736" s="4"/>
      <c r="E736" s="4"/>
    </row>
    <row r="737" spans="1:5" ht="15.75" customHeight="1" x14ac:dyDescent="0.3">
      <c r="A737" s="4"/>
      <c r="B737" s="4"/>
      <c r="C737" s="4"/>
      <c r="D737" s="4"/>
      <c r="E737" s="4"/>
    </row>
    <row r="738" spans="1:5" ht="15.75" customHeight="1" x14ac:dyDescent="0.3">
      <c r="A738" s="4"/>
      <c r="B738" s="4"/>
      <c r="C738" s="4"/>
      <c r="D738" s="4"/>
      <c r="E738" s="4"/>
    </row>
    <row r="739" spans="1:5" ht="15.75" customHeight="1" x14ac:dyDescent="0.3">
      <c r="A739" s="4"/>
      <c r="B739" s="4"/>
      <c r="C739" s="4"/>
      <c r="D739" s="4"/>
      <c r="E739" s="4"/>
    </row>
    <row r="740" spans="1:5" ht="15.75" customHeight="1" x14ac:dyDescent="0.3">
      <c r="A740" s="4"/>
      <c r="B740" s="4"/>
      <c r="C740" s="4"/>
      <c r="D740" s="4"/>
      <c r="E740" s="4"/>
    </row>
    <row r="741" spans="1:5" ht="15.75" customHeight="1" x14ac:dyDescent="0.3">
      <c r="A741" s="4"/>
      <c r="B741" s="4"/>
      <c r="C741" s="4"/>
      <c r="D741" s="4"/>
      <c r="E741" s="4"/>
    </row>
    <row r="742" spans="1:5" ht="15.75" customHeight="1" x14ac:dyDescent="0.3">
      <c r="A742" s="4"/>
      <c r="B742" s="4"/>
      <c r="C742" s="4"/>
      <c r="D742" s="4"/>
      <c r="E742" s="4"/>
    </row>
    <row r="743" spans="1:5" ht="15.75" customHeight="1" x14ac:dyDescent="0.3">
      <c r="A743" s="4"/>
      <c r="B743" s="4"/>
      <c r="C743" s="4"/>
      <c r="D743" s="4"/>
      <c r="E743" s="4"/>
    </row>
    <row r="744" spans="1:5" ht="15.75" customHeight="1" x14ac:dyDescent="0.3">
      <c r="A744" s="4"/>
      <c r="B744" s="4"/>
      <c r="C744" s="4"/>
      <c r="D744" s="4"/>
      <c r="E744" s="4"/>
    </row>
    <row r="745" spans="1:5" ht="15.75" customHeight="1" x14ac:dyDescent="0.3">
      <c r="A745" s="4"/>
      <c r="B745" s="4"/>
      <c r="C745" s="4"/>
      <c r="D745" s="4"/>
      <c r="E745" s="4"/>
    </row>
    <row r="746" spans="1:5" ht="15.75" customHeight="1" x14ac:dyDescent="0.3">
      <c r="A746" s="4"/>
      <c r="B746" s="4"/>
      <c r="C746" s="4"/>
      <c r="D746" s="4"/>
      <c r="E746" s="4"/>
    </row>
    <row r="747" spans="1:5" ht="15.75" customHeight="1" x14ac:dyDescent="0.3">
      <c r="A747" s="4"/>
      <c r="B747" s="4"/>
      <c r="C747" s="4"/>
      <c r="D747" s="4"/>
      <c r="E747" s="4"/>
    </row>
    <row r="748" spans="1:5" ht="15.75" customHeight="1" x14ac:dyDescent="0.3">
      <c r="A748" s="4"/>
      <c r="B748" s="4"/>
      <c r="C748" s="4"/>
      <c r="D748" s="4"/>
      <c r="E748" s="4"/>
    </row>
    <row r="749" spans="1:5" ht="15.75" customHeight="1" x14ac:dyDescent="0.3">
      <c r="A749" s="4"/>
      <c r="B749" s="4"/>
      <c r="C749" s="4"/>
      <c r="D749" s="4"/>
      <c r="E749" s="4"/>
    </row>
    <row r="750" spans="1:5" ht="15.75" customHeight="1" x14ac:dyDescent="0.3">
      <c r="A750" s="4"/>
      <c r="B750" s="4"/>
      <c r="C750" s="4"/>
      <c r="D750" s="4"/>
      <c r="E750" s="4"/>
    </row>
    <row r="751" spans="1:5" ht="15.75" customHeight="1" x14ac:dyDescent="0.3">
      <c r="A751" s="4"/>
      <c r="B751" s="4"/>
      <c r="C751" s="4"/>
      <c r="D751" s="4"/>
      <c r="E751" s="4"/>
    </row>
    <row r="752" spans="1:5" ht="15.75" customHeight="1" x14ac:dyDescent="0.3">
      <c r="A752" s="4"/>
      <c r="B752" s="4"/>
      <c r="C752" s="4"/>
      <c r="D752" s="4"/>
      <c r="E752" s="4"/>
    </row>
    <row r="753" spans="1:5" ht="15.75" customHeight="1" x14ac:dyDescent="0.3">
      <c r="A753" s="4"/>
      <c r="B753" s="4"/>
      <c r="C753" s="4"/>
      <c r="D753" s="4"/>
      <c r="E753" s="4"/>
    </row>
    <row r="754" spans="1:5" ht="15.75" customHeight="1" x14ac:dyDescent="0.3">
      <c r="A754" s="4"/>
      <c r="B754" s="4"/>
      <c r="C754" s="4"/>
      <c r="D754" s="4"/>
      <c r="E754" s="4"/>
    </row>
    <row r="755" spans="1:5" ht="15.75" customHeight="1" x14ac:dyDescent="0.3">
      <c r="A755" s="4"/>
      <c r="B755" s="4"/>
      <c r="C755" s="4"/>
      <c r="D755" s="4"/>
      <c r="E755" s="4"/>
    </row>
    <row r="756" spans="1:5" ht="15.75" customHeight="1" x14ac:dyDescent="0.3">
      <c r="A756" s="4"/>
      <c r="B756" s="4"/>
      <c r="C756" s="4"/>
      <c r="D756" s="4"/>
      <c r="E756" s="4"/>
    </row>
    <row r="757" spans="1:5" ht="15.75" customHeight="1" x14ac:dyDescent="0.3">
      <c r="A757" s="4"/>
      <c r="B757" s="4"/>
      <c r="C757" s="4"/>
      <c r="D757" s="4"/>
      <c r="E757" s="4"/>
    </row>
    <row r="758" spans="1:5" ht="15.75" customHeight="1" x14ac:dyDescent="0.3">
      <c r="A758" s="4"/>
      <c r="B758" s="4"/>
      <c r="C758" s="4"/>
      <c r="D758" s="4"/>
      <c r="E758" s="4"/>
    </row>
    <row r="759" spans="1:5" ht="15.75" customHeight="1" x14ac:dyDescent="0.3">
      <c r="A759" s="4"/>
      <c r="B759" s="4"/>
      <c r="C759" s="4"/>
      <c r="D759" s="4"/>
      <c r="E759" s="4"/>
    </row>
    <row r="760" spans="1:5" ht="15.75" customHeight="1" x14ac:dyDescent="0.3">
      <c r="A760" s="4"/>
      <c r="B760" s="4"/>
      <c r="C760" s="4"/>
      <c r="D760" s="4"/>
      <c r="E760" s="4"/>
    </row>
    <row r="761" spans="1:5" ht="15.75" customHeight="1" x14ac:dyDescent="0.3">
      <c r="A761" s="4"/>
      <c r="B761" s="4"/>
      <c r="C761" s="4"/>
      <c r="D761" s="4"/>
      <c r="E761" s="4"/>
    </row>
    <row r="762" spans="1:5" ht="15.75" customHeight="1" x14ac:dyDescent="0.3">
      <c r="A762" s="4"/>
      <c r="B762" s="4"/>
      <c r="C762" s="4"/>
      <c r="D762" s="4"/>
      <c r="E762" s="4"/>
    </row>
    <row r="763" spans="1:5" ht="15.75" customHeight="1" x14ac:dyDescent="0.3">
      <c r="A763" s="4"/>
      <c r="B763" s="4"/>
      <c r="C763" s="4"/>
      <c r="D763" s="4"/>
      <c r="E763" s="4"/>
    </row>
    <row r="764" spans="1:5" ht="15.75" customHeight="1" x14ac:dyDescent="0.3">
      <c r="A764" s="4"/>
      <c r="B764" s="4"/>
      <c r="C764" s="4"/>
      <c r="D764" s="4"/>
      <c r="E764" s="4"/>
    </row>
    <row r="765" spans="1:5" ht="15.75" customHeight="1" x14ac:dyDescent="0.3">
      <c r="A765" s="4"/>
      <c r="B765" s="4"/>
      <c r="C765" s="4"/>
      <c r="D765" s="4"/>
      <c r="E765" s="4"/>
    </row>
    <row r="766" spans="1:5" ht="15.75" customHeight="1" x14ac:dyDescent="0.3">
      <c r="A766" s="4"/>
      <c r="B766" s="4"/>
      <c r="C766" s="4"/>
      <c r="D766" s="4"/>
      <c r="E766" s="4"/>
    </row>
    <row r="767" spans="1:5" ht="15.75" customHeight="1" x14ac:dyDescent="0.3">
      <c r="A767" s="4"/>
      <c r="B767" s="4"/>
      <c r="C767" s="4"/>
      <c r="D767" s="4"/>
      <c r="E767" s="4"/>
    </row>
    <row r="768" spans="1:5" ht="15.75" customHeight="1" x14ac:dyDescent="0.3">
      <c r="A768" s="4"/>
      <c r="B768" s="4"/>
      <c r="C768" s="4"/>
      <c r="D768" s="4"/>
      <c r="E768" s="4"/>
    </row>
    <row r="769" spans="1:5" ht="15.75" customHeight="1" x14ac:dyDescent="0.3">
      <c r="A769" s="4"/>
      <c r="B769" s="4"/>
      <c r="C769" s="4"/>
      <c r="D769" s="4"/>
      <c r="E769" s="4"/>
    </row>
    <row r="770" spans="1:5" ht="15.75" customHeight="1" x14ac:dyDescent="0.3">
      <c r="A770" s="4"/>
      <c r="B770" s="4"/>
      <c r="C770" s="4"/>
      <c r="D770" s="4"/>
      <c r="E770" s="4"/>
    </row>
    <row r="771" spans="1:5" ht="15.75" customHeight="1" x14ac:dyDescent="0.3">
      <c r="A771" s="4"/>
      <c r="B771" s="4"/>
      <c r="C771" s="4"/>
      <c r="D771" s="4"/>
      <c r="E771" s="4"/>
    </row>
    <row r="772" spans="1:5" ht="15.75" customHeight="1" x14ac:dyDescent="0.3">
      <c r="A772" s="4"/>
      <c r="B772" s="4"/>
      <c r="C772" s="4"/>
      <c r="D772" s="4"/>
      <c r="E772" s="4"/>
    </row>
    <row r="773" spans="1:5" ht="15.75" customHeight="1" x14ac:dyDescent="0.3">
      <c r="A773" s="4"/>
      <c r="B773" s="4"/>
      <c r="C773" s="4"/>
      <c r="D773" s="4"/>
      <c r="E773" s="4"/>
    </row>
    <row r="774" spans="1:5" ht="15.75" customHeight="1" x14ac:dyDescent="0.3">
      <c r="A774" s="4"/>
      <c r="B774" s="4"/>
      <c r="C774" s="4"/>
      <c r="D774" s="4"/>
      <c r="E774" s="4"/>
    </row>
    <row r="775" spans="1:5" ht="15.75" customHeight="1" x14ac:dyDescent="0.3">
      <c r="A775" s="4"/>
      <c r="B775" s="4"/>
      <c r="C775" s="4"/>
      <c r="D775" s="4"/>
      <c r="E775" s="4"/>
    </row>
    <row r="776" spans="1:5" ht="15.75" customHeight="1" x14ac:dyDescent="0.3">
      <c r="A776" s="4"/>
      <c r="B776" s="4"/>
      <c r="C776" s="4"/>
      <c r="D776" s="4"/>
      <c r="E776" s="4"/>
    </row>
    <row r="777" spans="1:5" ht="15.75" customHeight="1" x14ac:dyDescent="0.3">
      <c r="A777" s="4"/>
      <c r="B777" s="4"/>
      <c r="C777" s="4"/>
      <c r="D777" s="4"/>
      <c r="E777" s="4"/>
    </row>
    <row r="778" spans="1:5" ht="15.75" customHeight="1" x14ac:dyDescent="0.3">
      <c r="A778" s="4"/>
      <c r="B778" s="4"/>
      <c r="C778" s="4"/>
      <c r="D778" s="4"/>
      <c r="E778" s="4"/>
    </row>
    <row r="779" spans="1:5" ht="15.75" customHeight="1" x14ac:dyDescent="0.3">
      <c r="A779" s="4"/>
      <c r="B779" s="4"/>
      <c r="C779" s="4"/>
      <c r="D779" s="4"/>
      <c r="E779" s="4"/>
    </row>
    <row r="780" spans="1:5" ht="15.75" customHeight="1" x14ac:dyDescent="0.3">
      <c r="A780" s="4"/>
      <c r="B780" s="4"/>
      <c r="C780" s="4"/>
      <c r="D780" s="4"/>
      <c r="E780" s="4"/>
    </row>
    <row r="781" spans="1:5" ht="15.75" customHeight="1" x14ac:dyDescent="0.3">
      <c r="A781" s="4"/>
      <c r="B781" s="4"/>
      <c r="C781" s="4"/>
      <c r="D781" s="4"/>
      <c r="E781" s="4"/>
    </row>
    <row r="782" spans="1:5" ht="15.75" customHeight="1" x14ac:dyDescent="0.3">
      <c r="A782" s="4"/>
      <c r="B782" s="4"/>
      <c r="C782" s="4"/>
      <c r="D782" s="4"/>
      <c r="E782" s="4"/>
    </row>
    <row r="783" spans="1:5" ht="15.75" customHeight="1" x14ac:dyDescent="0.3">
      <c r="A783" s="4"/>
      <c r="B783" s="4"/>
      <c r="C783" s="4"/>
      <c r="D783" s="4"/>
      <c r="E783" s="4"/>
    </row>
    <row r="784" spans="1:5" ht="15.75" customHeight="1" x14ac:dyDescent="0.3">
      <c r="A784" s="4"/>
      <c r="B784" s="4"/>
      <c r="C784" s="4"/>
      <c r="D784" s="4"/>
      <c r="E784" s="4"/>
    </row>
    <row r="785" spans="1:5" ht="15.75" customHeight="1" x14ac:dyDescent="0.3">
      <c r="A785" s="4"/>
      <c r="B785" s="4"/>
      <c r="C785" s="4"/>
      <c r="D785" s="4"/>
      <c r="E785" s="4"/>
    </row>
    <row r="786" spans="1:5" ht="15.75" customHeight="1" x14ac:dyDescent="0.3">
      <c r="A786" s="4"/>
      <c r="B786" s="4"/>
      <c r="C786" s="4"/>
      <c r="D786" s="4"/>
      <c r="E786" s="4"/>
    </row>
    <row r="787" spans="1:5" ht="15.75" customHeight="1" x14ac:dyDescent="0.3">
      <c r="A787" s="4"/>
      <c r="B787" s="4"/>
      <c r="C787" s="4"/>
      <c r="D787" s="4"/>
      <c r="E787" s="4"/>
    </row>
    <row r="788" spans="1:5" ht="15.75" customHeight="1" x14ac:dyDescent="0.3">
      <c r="A788" s="4"/>
      <c r="B788" s="4"/>
      <c r="C788" s="4"/>
      <c r="D788" s="4"/>
      <c r="E788" s="4"/>
    </row>
    <row r="789" spans="1:5" ht="15.75" customHeight="1" x14ac:dyDescent="0.3">
      <c r="A789" s="4"/>
      <c r="B789" s="4"/>
      <c r="C789" s="4"/>
      <c r="D789" s="4"/>
      <c r="E789" s="4"/>
    </row>
    <row r="790" spans="1:5" ht="15.75" customHeight="1" x14ac:dyDescent="0.3">
      <c r="A790" s="4"/>
      <c r="B790" s="4"/>
      <c r="C790" s="4"/>
      <c r="D790" s="4"/>
      <c r="E790" s="4"/>
    </row>
    <row r="791" spans="1:5" ht="15.75" customHeight="1" x14ac:dyDescent="0.3">
      <c r="A791" s="4"/>
      <c r="B791" s="4"/>
      <c r="C791" s="4"/>
      <c r="D791" s="4"/>
      <c r="E791" s="4"/>
    </row>
    <row r="792" spans="1:5" ht="15.75" customHeight="1" x14ac:dyDescent="0.3">
      <c r="A792" s="4"/>
      <c r="B792" s="4"/>
      <c r="C792" s="4"/>
      <c r="D792" s="4"/>
      <c r="E792" s="4"/>
    </row>
    <row r="793" spans="1:5" ht="15.75" customHeight="1" x14ac:dyDescent="0.3">
      <c r="A793" s="4"/>
      <c r="B793" s="4"/>
      <c r="C793" s="4"/>
      <c r="D793" s="4"/>
      <c r="E793" s="4"/>
    </row>
    <row r="794" spans="1:5" ht="15.75" customHeight="1" x14ac:dyDescent="0.3">
      <c r="A794" s="4"/>
      <c r="B794" s="4"/>
      <c r="C794" s="4"/>
      <c r="D794" s="4"/>
      <c r="E794" s="4"/>
    </row>
    <row r="795" spans="1:5" ht="15.75" customHeight="1" x14ac:dyDescent="0.3">
      <c r="A795" s="4"/>
      <c r="B795" s="4"/>
      <c r="C795" s="4"/>
      <c r="D795" s="4"/>
      <c r="E795" s="4"/>
    </row>
    <row r="796" spans="1:5" ht="15.75" customHeight="1" x14ac:dyDescent="0.3">
      <c r="A796" s="4"/>
      <c r="B796" s="4"/>
      <c r="C796" s="4"/>
      <c r="D796" s="4"/>
      <c r="E796" s="4"/>
    </row>
    <row r="797" spans="1:5" ht="15.75" customHeight="1" x14ac:dyDescent="0.3">
      <c r="A797" s="4"/>
      <c r="B797" s="4"/>
      <c r="C797" s="4"/>
      <c r="D797" s="4"/>
      <c r="E797" s="4"/>
    </row>
    <row r="798" spans="1:5" ht="15.75" customHeight="1" x14ac:dyDescent="0.3">
      <c r="A798" s="4"/>
      <c r="B798" s="4"/>
      <c r="C798" s="4"/>
      <c r="D798" s="4"/>
      <c r="E798" s="4"/>
    </row>
    <row r="799" spans="1:5" ht="15.75" customHeight="1" x14ac:dyDescent="0.3">
      <c r="A799" s="4"/>
      <c r="B799" s="4"/>
      <c r="C799" s="4"/>
      <c r="D799" s="4"/>
      <c r="E799" s="4"/>
    </row>
    <row r="800" spans="1:5" ht="15.75" customHeight="1" x14ac:dyDescent="0.3">
      <c r="A800" s="4"/>
      <c r="B800" s="4"/>
      <c r="C800" s="4"/>
      <c r="D800" s="4"/>
      <c r="E800" s="4"/>
    </row>
    <row r="801" spans="1:5" ht="15.75" customHeight="1" x14ac:dyDescent="0.3">
      <c r="A801" s="4"/>
      <c r="B801" s="4"/>
      <c r="C801" s="4"/>
      <c r="D801" s="4"/>
      <c r="E801" s="4"/>
    </row>
    <row r="802" spans="1:5" ht="15.75" customHeight="1" x14ac:dyDescent="0.3">
      <c r="A802" s="4"/>
      <c r="B802" s="4"/>
      <c r="C802" s="4"/>
      <c r="D802" s="4"/>
      <c r="E802" s="4"/>
    </row>
    <row r="803" spans="1:5" ht="15.75" customHeight="1" x14ac:dyDescent="0.3">
      <c r="A803" s="4"/>
      <c r="B803" s="4"/>
      <c r="C803" s="4"/>
      <c r="D803" s="4"/>
      <c r="E803" s="4"/>
    </row>
    <row r="804" spans="1:5" ht="15.75" customHeight="1" x14ac:dyDescent="0.3">
      <c r="A804" s="4"/>
      <c r="B804" s="4"/>
      <c r="C804" s="4"/>
      <c r="D804" s="4"/>
      <c r="E804" s="4"/>
    </row>
    <row r="805" spans="1:5" ht="15.75" customHeight="1" x14ac:dyDescent="0.3">
      <c r="A805" s="4"/>
      <c r="B805" s="4"/>
      <c r="C805" s="4"/>
      <c r="D805" s="4"/>
      <c r="E805" s="4"/>
    </row>
    <row r="806" spans="1:5" ht="15.75" customHeight="1" x14ac:dyDescent="0.3">
      <c r="A806" s="4"/>
      <c r="B806" s="4"/>
      <c r="C806" s="4"/>
      <c r="D806" s="4"/>
      <c r="E806" s="4"/>
    </row>
    <row r="807" spans="1:5" ht="15.75" customHeight="1" x14ac:dyDescent="0.3">
      <c r="A807" s="4"/>
      <c r="B807" s="4"/>
      <c r="C807" s="4"/>
      <c r="D807" s="4"/>
      <c r="E807" s="4"/>
    </row>
    <row r="808" spans="1:5" ht="15.75" customHeight="1" x14ac:dyDescent="0.3">
      <c r="A808" s="4"/>
      <c r="B808" s="4"/>
      <c r="C808" s="4"/>
      <c r="D808" s="4"/>
      <c r="E808" s="4"/>
    </row>
    <row r="809" spans="1:5" ht="15.75" customHeight="1" x14ac:dyDescent="0.3">
      <c r="A809" s="4"/>
      <c r="B809" s="4"/>
      <c r="C809" s="4"/>
      <c r="D809" s="4"/>
      <c r="E809" s="4"/>
    </row>
    <row r="810" spans="1:5" ht="15.75" customHeight="1" x14ac:dyDescent="0.3">
      <c r="A810" s="4"/>
      <c r="B810" s="4"/>
      <c r="C810" s="4"/>
      <c r="D810" s="4"/>
      <c r="E810" s="4"/>
    </row>
    <row r="811" spans="1:5" ht="15.75" customHeight="1" x14ac:dyDescent="0.3">
      <c r="A811" s="4"/>
      <c r="B811" s="4"/>
      <c r="C811" s="4"/>
      <c r="D811" s="4"/>
      <c r="E811" s="4"/>
    </row>
    <row r="812" spans="1:5" ht="15.75" customHeight="1" x14ac:dyDescent="0.3">
      <c r="A812" s="4"/>
      <c r="B812" s="4"/>
      <c r="C812" s="4"/>
      <c r="D812" s="4"/>
      <c r="E812" s="4"/>
    </row>
    <row r="813" spans="1:5" ht="15.75" customHeight="1" x14ac:dyDescent="0.3">
      <c r="A813" s="4"/>
      <c r="B813" s="4"/>
      <c r="C813" s="4"/>
      <c r="D813" s="4"/>
      <c r="E813" s="4"/>
    </row>
    <row r="814" spans="1:5" ht="15.75" customHeight="1" x14ac:dyDescent="0.3">
      <c r="A814" s="4"/>
      <c r="B814" s="4"/>
      <c r="C814" s="4"/>
      <c r="D814" s="4"/>
      <c r="E814" s="4"/>
    </row>
    <row r="815" spans="1:5" ht="15.75" customHeight="1" x14ac:dyDescent="0.3">
      <c r="A815" s="4"/>
      <c r="B815" s="4"/>
      <c r="C815" s="4"/>
      <c r="D815" s="4"/>
      <c r="E815" s="4"/>
    </row>
    <row r="816" spans="1:5" ht="15.75" customHeight="1" x14ac:dyDescent="0.3">
      <c r="A816" s="4"/>
      <c r="B816" s="4"/>
      <c r="C816" s="4"/>
      <c r="D816" s="4"/>
      <c r="E816" s="4"/>
    </row>
    <row r="817" spans="1:5" ht="15.75" customHeight="1" x14ac:dyDescent="0.3">
      <c r="A817" s="4"/>
      <c r="B817" s="4"/>
      <c r="C817" s="4"/>
      <c r="D817" s="4"/>
      <c r="E817" s="4"/>
    </row>
    <row r="818" spans="1:5" ht="15.75" customHeight="1" x14ac:dyDescent="0.3">
      <c r="A818" s="4"/>
      <c r="B818" s="4"/>
      <c r="C818" s="4"/>
      <c r="D818" s="4"/>
      <c r="E818" s="4"/>
    </row>
    <row r="819" spans="1:5" ht="15.75" customHeight="1" x14ac:dyDescent="0.3">
      <c r="A819" s="4"/>
      <c r="B819" s="4"/>
      <c r="C819" s="4"/>
      <c r="D819" s="4"/>
      <c r="E819" s="4"/>
    </row>
    <row r="820" spans="1:5" ht="15.75" customHeight="1" x14ac:dyDescent="0.3">
      <c r="A820" s="4"/>
      <c r="B820" s="4"/>
      <c r="C820" s="4"/>
      <c r="D820" s="4"/>
      <c r="E820" s="4"/>
    </row>
    <row r="821" spans="1:5" ht="15.75" customHeight="1" x14ac:dyDescent="0.3">
      <c r="A821" s="4"/>
      <c r="B821" s="4"/>
      <c r="C821" s="4"/>
      <c r="D821" s="4"/>
      <c r="E821" s="4"/>
    </row>
    <row r="822" spans="1:5" ht="15.75" customHeight="1" x14ac:dyDescent="0.3">
      <c r="A822" s="4"/>
      <c r="B822" s="4"/>
      <c r="C822" s="4"/>
      <c r="D822" s="4"/>
      <c r="E822" s="4"/>
    </row>
    <row r="823" spans="1:5" ht="15.75" customHeight="1" x14ac:dyDescent="0.3">
      <c r="A823" s="4"/>
      <c r="B823" s="4"/>
      <c r="C823" s="4"/>
      <c r="D823" s="4"/>
      <c r="E823" s="4"/>
    </row>
    <row r="824" spans="1:5" ht="15.75" customHeight="1" x14ac:dyDescent="0.3">
      <c r="A824" s="4"/>
      <c r="B824" s="4"/>
      <c r="C824" s="4"/>
      <c r="D824" s="4"/>
      <c r="E824" s="4"/>
    </row>
    <row r="825" spans="1:5" ht="15.75" customHeight="1" x14ac:dyDescent="0.3">
      <c r="A825" s="4"/>
      <c r="B825" s="4"/>
      <c r="C825" s="4"/>
      <c r="D825" s="4"/>
      <c r="E825" s="4"/>
    </row>
    <row r="826" spans="1:5" ht="15.75" customHeight="1" x14ac:dyDescent="0.3">
      <c r="A826" s="4"/>
      <c r="B826" s="4"/>
      <c r="C826" s="4"/>
      <c r="D826" s="4"/>
      <c r="E826" s="4"/>
    </row>
    <row r="827" spans="1:5" ht="15.75" customHeight="1" x14ac:dyDescent="0.3">
      <c r="A827" s="4"/>
      <c r="B827" s="4"/>
      <c r="C827" s="4"/>
      <c r="D827" s="4"/>
      <c r="E827" s="4"/>
    </row>
    <row r="828" spans="1:5" ht="15.75" customHeight="1" x14ac:dyDescent="0.3">
      <c r="A828" s="4"/>
      <c r="B828" s="4"/>
      <c r="C828" s="4"/>
      <c r="D828" s="4"/>
      <c r="E828" s="4"/>
    </row>
    <row r="829" spans="1:5" ht="15.75" customHeight="1" x14ac:dyDescent="0.3">
      <c r="A829" s="4"/>
      <c r="B829" s="4"/>
      <c r="C829" s="4"/>
      <c r="D829" s="4"/>
      <c r="E829" s="4"/>
    </row>
    <row r="830" spans="1:5" ht="15.75" customHeight="1" x14ac:dyDescent="0.3">
      <c r="A830" s="4"/>
      <c r="B830" s="4"/>
      <c r="C830" s="4"/>
      <c r="D830" s="4"/>
      <c r="E830" s="4"/>
    </row>
    <row r="831" spans="1:5" ht="15.75" customHeight="1" x14ac:dyDescent="0.3">
      <c r="A831" s="4"/>
      <c r="B831" s="4"/>
      <c r="C831" s="4"/>
      <c r="D831" s="4"/>
      <c r="E831" s="4"/>
    </row>
    <row r="832" spans="1:5" ht="15.75" customHeight="1" x14ac:dyDescent="0.3">
      <c r="A832" s="4"/>
      <c r="B832" s="4"/>
      <c r="C832" s="4"/>
      <c r="D832" s="4"/>
      <c r="E832" s="4"/>
    </row>
    <row r="833" spans="1:5" ht="15.75" customHeight="1" x14ac:dyDescent="0.3">
      <c r="A833" s="4"/>
      <c r="B833" s="4"/>
      <c r="C833" s="4"/>
      <c r="D833" s="4"/>
      <c r="E833" s="4"/>
    </row>
    <row r="834" spans="1:5" ht="15.75" customHeight="1" x14ac:dyDescent="0.3">
      <c r="A834" s="4"/>
      <c r="B834" s="4"/>
      <c r="C834" s="4"/>
      <c r="D834" s="4"/>
      <c r="E834" s="4"/>
    </row>
    <row r="835" spans="1:5" ht="15.75" customHeight="1" x14ac:dyDescent="0.3">
      <c r="A835" s="4"/>
      <c r="B835" s="4"/>
      <c r="C835" s="4"/>
      <c r="D835" s="4"/>
      <c r="E835" s="4"/>
    </row>
    <row r="836" spans="1:5" ht="15.75" customHeight="1" x14ac:dyDescent="0.3">
      <c r="A836" s="4"/>
      <c r="B836" s="4"/>
      <c r="C836" s="4"/>
      <c r="D836" s="4"/>
      <c r="E836" s="4"/>
    </row>
    <row r="837" spans="1:5" ht="15.75" customHeight="1" x14ac:dyDescent="0.3">
      <c r="A837" s="4"/>
      <c r="B837" s="4"/>
      <c r="C837" s="4"/>
      <c r="D837" s="4"/>
      <c r="E837" s="4"/>
    </row>
    <row r="838" spans="1:5" ht="15.75" customHeight="1" x14ac:dyDescent="0.3">
      <c r="A838" s="4"/>
      <c r="B838" s="4"/>
      <c r="C838" s="4"/>
      <c r="D838" s="4"/>
      <c r="E838" s="4"/>
    </row>
    <row r="839" spans="1:5" ht="15.75" customHeight="1" x14ac:dyDescent="0.3">
      <c r="A839" s="4"/>
      <c r="B839" s="4"/>
      <c r="C839" s="4"/>
      <c r="D839" s="4"/>
      <c r="E839" s="4"/>
    </row>
    <row r="840" spans="1:5" ht="15.75" customHeight="1" x14ac:dyDescent="0.3">
      <c r="A840" s="4"/>
      <c r="B840" s="4"/>
      <c r="C840" s="4"/>
      <c r="D840" s="4"/>
      <c r="E840" s="4"/>
    </row>
    <row r="841" spans="1:5" ht="15.75" customHeight="1" x14ac:dyDescent="0.3">
      <c r="A841" s="4"/>
      <c r="B841" s="4"/>
      <c r="C841" s="4"/>
      <c r="D841" s="4"/>
      <c r="E841" s="4"/>
    </row>
    <row r="842" spans="1:5" ht="15.75" customHeight="1" x14ac:dyDescent="0.3">
      <c r="A842" s="4"/>
      <c r="B842" s="4"/>
      <c r="C842" s="4"/>
      <c r="D842" s="4"/>
      <c r="E842" s="4"/>
    </row>
    <row r="843" spans="1:5" ht="15.75" customHeight="1" x14ac:dyDescent="0.3">
      <c r="A843" s="4"/>
      <c r="B843" s="4"/>
      <c r="C843" s="4"/>
      <c r="D843" s="4"/>
      <c r="E843" s="4"/>
    </row>
    <row r="844" spans="1:5" ht="15.75" customHeight="1" x14ac:dyDescent="0.3">
      <c r="A844" s="4"/>
      <c r="B844" s="4"/>
      <c r="C844" s="4"/>
      <c r="D844" s="4"/>
      <c r="E844" s="4"/>
    </row>
    <row r="845" spans="1:5" ht="15.75" customHeight="1" x14ac:dyDescent="0.3">
      <c r="A845" s="4"/>
      <c r="B845" s="4"/>
      <c r="C845" s="4"/>
      <c r="D845" s="4"/>
      <c r="E845" s="4"/>
    </row>
    <row r="846" spans="1:5" ht="15.75" customHeight="1" x14ac:dyDescent="0.3">
      <c r="A846" s="4"/>
      <c r="B846" s="4"/>
      <c r="C846" s="4"/>
      <c r="D846" s="4"/>
      <c r="E846" s="4"/>
    </row>
    <row r="847" spans="1:5" ht="15.75" customHeight="1" x14ac:dyDescent="0.3">
      <c r="A847" s="4"/>
      <c r="B847" s="4"/>
      <c r="C847" s="4"/>
      <c r="D847" s="4"/>
      <c r="E847" s="4"/>
    </row>
    <row r="848" spans="1:5" ht="15.75" customHeight="1" x14ac:dyDescent="0.3">
      <c r="A848" s="4"/>
      <c r="B848" s="4"/>
      <c r="C848" s="4"/>
      <c r="D848" s="4"/>
      <c r="E848" s="4"/>
    </row>
    <row r="849" spans="1:5" ht="15.75" customHeight="1" x14ac:dyDescent="0.3">
      <c r="A849" s="4"/>
      <c r="B849" s="4"/>
      <c r="C849" s="4"/>
      <c r="D849" s="4"/>
      <c r="E849" s="4"/>
    </row>
    <row r="850" spans="1:5" ht="15.75" customHeight="1" x14ac:dyDescent="0.3">
      <c r="A850" s="4"/>
      <c r="B850" s="4"/>
      <c r="C850" s="4"/>
      <c r="D850" s="4"/>
      <c r="E850" s="4"/>
    </row>
    <row r="851" spans="1:5" ht="15.75" customHeight="1" x14ac:dyDescent="0.3">
      <c r="A851" s="4"/>
      <c r="B851" s="4"/>
      <c r="C851" s="4"/>
      <c r="D851" s="4"/>
      <c r="E851" s="4"/>
    </row>
    <row r="852" spans="1:5" ht="15.75" customHeight="1" x14ac:dyDescent="0.3">
      <c r="A852" s="4"/>
      <c r="B852" s="4"/>
      <c r="C852" s="4"/>
      <c r="D852" s="4"/>
      <c r="E852" s="4"/>
    </row>
    <row r="853" spans="1:5" ht="15.75" customHeight="1" x14ac:dyDescent="0.3">
      <c r="A853" s="4"/>
      <c r="B853" s="4"/>
      <c r="C853" s="4"/>
      <c r="D853" s="4"/>
      <c r="E853" s="4"/>
    </row>
    <row r="854" spans="1:5" ht="15.75" customHeight="1" x14ac:dyDescent="0.3">
      <c r="A854" s="4"/>
      <c r="B854" s="4"/>
      <c r="C854" s="4"/>
      <c r="D854" s="4"/>
      <c r="E854" s="4"/>
    </row>
    <row r="855" spans="1:5" ht="15.75" customHeight="1" x14ac:dyDescent="0.3">
      <c r="A855" s="4"/>
      <c r="B855" s="4"/>
      <c r="C855" s="4"/>
      <c r="D855" s="4"/>
      <c r="E855" s="4"/>
    </row>
    <row r="856" spans="1:5" ht="15.75" customHeight="1" x14ac:dyDescent="0.3">
      <c r="A856" s="4"/>
      <c r="B856" s="4"/>
      <c r="C856" s="4"/>
      <c r="D856" s="4"/>
      <c r="E856" s="4"/>
    </row>
    <row r="857" spans="1:5" ht="15.75" customHeight="1" x14ac:dyDescent="0.3">
      <c r="A857" s="4"/>
      <c r="B857" s="4"/>
      <c r="C857" s="4"/>
      <c r="D857" s="4"/>
      <c r="E857" s="4"/>
    </row>
    <row r="858" spans="1:5" ht="15.75" customHeight="1" x14ac:dyDescent="0.3">
      <c r="A858" s="4"/>
      <c r="B858" s="4"/>
      <c r="C858" s="4"/>
      <c r="D858" s="4"/>
      <c r="E858" s="4"/>
    </row>
    <row r="859" spans="1:5" ht="15.75" customHeight="1" x14ac:dyDescent="0.3">
      <c r="A859" s="4"/>
      <c r="B859" s="4"/>
      <c r="C859" s="4"/>
      <c r="D859" s="4"/>
      <c r="E859" s="4"/>
    </row>
    <row r="860" spans="1:5" ht="15.75" customHeight="1" x14ac:dyDescent="0.3">
      <c r="A860" s="4"/>
      <c r="B860" s="4"/>
      <c r="C860" s="4"/>
      <c r="D860" s="4"/>
      <c r="E860" s="4"/>
    </row>
    <row r="861" spans="1:5" ht="15.75" customHeight="1" x14ac:dyDescent="0.3">
      <c r="A861" s="4"/>
      <c r="B861" s="4"/>
      <c r="C861" s="4"/>
      <c r="D861" s="4"/>
      <c r="E861" s="4"/>
    </row>
    <row r="862" spans="1:5" ht="15.75" customHeight="1" x14ac:dyDescent="0.3">
      <c r="A862" s="4"/>
      <c r="B862" s="4"/>
      <c r="C862" s="4"/>
      <c r="D862" s="4"/>
      <c r="E862" s="4"/>
    </row>
    <row r="863" spans="1:5" ht="15.75" customHeight="1" x14ac:dyDescent="0.3">
      <c r="A863" s="4"/>
      <c r="B863" s="4"/>
      <c r="C863" s="4"/>
      <c r="D863" s="4"/>
      <c r="E863" s="4"/>
    </row>
    <row r="864" spans="1:5" ht="15.75" customHeight="1" x14ac:dyDescent="0.3">
      <c r="A864" s="4"/>
      <c r="B864" s="4"/>
      <c r="C864" s="4"/>
      <c r="D864" s="4"/>
      <c r="E864" s="4"/>
    </row>
    <row r="865" spans="1:5" ht="15.75" customHeight="1" x14ac:dyDescent="0.3">
      <c r="A865" s="4"/>
      <c r="B865" s="4"/>
      <c r="C865" s="4"/>
      <c r="D865" s="4"/>
      <c r="E865" s="4"/>
    </row>
    <row r="866" spans="1:5" ht="15.75" customHeight="1" x14ac:dyDescent="0.3">
      <c r="A866" s="4"/>
      <c r="B866" s="4"/>
      <c r="C866" s="4"/>
      <c r="D866" s="4"/>
      <c r="E866" s="4"/>
    </row>
    <row r="867" spans="1:5" ht="15.75" customHeight="1" x14ac:dyDescent="0.3">
      <c r="A867" s="4"/>
      <c r="B867" s="4"/>
      <c r="C867" s="4"/>
      <c r="D867" s="4"/>
      <c r="E867" s="4"/>
    </row>
    <row r="868" spans="1:5" ht="15.75" customHeight="1" x14ac:dyDescent="0.3">
      <c r="A868" s="4"/>
      <c r="B868" s="4"/>
      <c r="C868" s="4"/>
      <c r="D868" s="4"/>
      <c r="E868" s="4"/>
    </row>
    <row r="869" spans="1:5" ht="15.75" customHeight="1" x14ac:dyDescent="0.3">
      <c r="A869" s="4"/>
      <c r="B869" s="4"/>
      <c r="C869" s="4"/>
      <c r="D869" s="4"/>
      <c r="E869" s="4"/>
    </row>
    <row r="870" spans="1:5" ht="15.75" customHeight="1" x14ac:dyDescent="0.3">
      <c r="A870" s="4"/>
      <c r="B870" s="4"/>
      <c r="C870" s="4"/>
      <c r="D870" s="4"/>
      <c r="E870" s="4"/>
    </row>
    <row r="871" spans="1:5" ht="15.75" customHeight="1" x14ac:dyDescent="0.3">
      <c r="A871" s="4"/>
      <c r="B871" s="4"/>
      <c r="C871" s="4"/>
      <c r="D871" s="4"/>
      <c r="E871" s="4"/>
    </row>
    <row r="872" spans="1:5" ht="15.75" customHeight="1" x14ac:dyDescent="0.3">
      <c r="A872" s="4"/>
      <c r="B872" s="4"/>
      <c r="C872" s="4"/>
      <c r="D872" s="4"/>
      <c r="E872" s="4"/>
    </row>
    <row r="873" spans="1:5" ht="15.75" customHeight="1" x14ac:dyDescent="0.3">
      <c r="A873" s="4"/>
      <c r="B873" s="4"/>
      <c r="C873" s="4"/>
      <c r="D873" s="4"/>
      <c r="E873" s="4"/>
    </row>
    <row r="874" spans="1:5" ht="15.75" customHeight="1" x14ac:dyDescent="0.3">
      <c r="A874" s="4"/>
      <c r="B874" s="4"/>
      <c r="C874" s="4"/>
      <c r="D874" s="4"/>
      <c r="E874" s="4"/>
    </row>
    <row r="875" spans="1:5" ht="15.75" customHeight="1" x14ac:dyDescent="0.3">
      <c r="A875" s="4"/>
      <c r="B875" s="4"/>
      <c r="C875" s="4"/>
      <c r="D875" s="4"/>
      <c r="E875" s="4"/>
    </row>
    <row r="876" spans="1:5" ht="15.75" customHeight="1" x14ac:dyDescent="0.3">
      <c r="A876" s="4"/>
      <c r="B876" s="4"/>
      <c r="C876" s="4"/>
      <c r="D876" s="4"/>
      <c r="E876" s="4"/>
    </row>
    <row r="877" spans="1:5" ht="15.75" customHeight="1" x14ac:dyDescent="0.3">
      <c r="A877" s="4"/>
      <c r="B877" s="4"/>
      <c r="C877" s="4"/>
      <c r="D877" s="4"/>
      <c r="E877" s="4"/>
    </row>
    <row r="878" spans="1:5" ht="15.75" customHeight="1" x14ac:dyDescent="0.3">
      <c r="A878" s="4"/>
      <c r="B878" s="4"/>
      <c r="C878" s="4"/>
      <c r="D878" s="4"/>
      <c r="E878" s="4"/>
    </row>
    <row r="879" spans="1:5" ht="15.75" customHeight="1" x14ac:dyDescent="0.3">
      <c r="A879" s="4"/>
      <c r="B879" s="4"/>
      <c r="C879" s="4"/>
      <c r="D879" s="4"/>
      <c r="E879" s="4"/>
    </row>
    <row r="880" spans="1:5" ht="15.75" customHeight="1" x14ac:dyDescent="0.3">
      <c r="A880" s="4"/>
      <c r="B880" s="4"/>
      <c r="C880" s="4"/>
      <c r="D880" s="4"/>
      <c r="E880" s="4"/>
    </row>
    <row r="881" spans="1:5" ht="15.75" customHeight="1" x14ac:dyDescent="0.3">
      <c r="A881" s="4"/>
      <c r="B881" s="4"/>
      <c r="C881" s="4"/>
      <c r="D881" s="4"/>
      <c r="E881" s="4"/>
    </row>
    <row r="882" spans="1:5" ht="15.75" customHeight="1" x14ac:dyDescent="0.3">
      <c r="A882" s="4"/>
      <c r="B882" s="4"/>
      <c r="C882" s="4"/>
      <c r="D882" s="4"/>
      <c r="E882" s="4"/>
    </row>
    <row r="883" spans="1:5" ht="15.75" customHeight="1" x14ac:dyDescent="0.3">
      <c r="A883" s="4"/>
      <c r="B883" s="4"/>
      <c r="C883" s="4"/>
      <c r="D883" s="4"/>
      <c r="E883" s="4"/>
    </row>
    <row r="884" spans="1:5" ht="15.75" customHeight="1" x14ac:dyDescent="0.3">
      <c r="A884" s="4"/>
      <c r="B884" s="4"/>
      <c r="C884" s="4"/>
      <c r="D884" s="4"/>
      <c r="E884" s="4"/>
    </row>
    <row r="885" spans="1:5" ht="15.75" customHeight="1" x14ac:dyDescent="0.3">
      <c r="A885" s="4"/>
      <c r="B885" s="4"/>
      <c r="C885" s="4"/>
      <c r="D885" s="4"/>
      <c r="E885" s="4"/>
    </row>
    <row r="886" spans="1:5" ht="15.75" customHeight="1" x14ac:dyDescent="0.3">
      <c r="A886" s="4"/>
      <c r="B886" s="4"/>
      <c r="C886" s="4"/>
      <c r="D886" s="4"/>
      <c r="E886" s="4"/>
    </row>
    <row r="887" spans="1:5" ht="15.75" customHeight="1" x14ac:dyDescent="0.3">
      <c r="A887" s="4"/>
      <c r="B887" s="4"/>
      <c r="C887" s="4"/>
      <c r="D887" s="4"/>
      <c r="E887" s="4"/>
    </row>
    <row r="888" spans="1:5" ht="15.75" customHeight="1" x14ac:dyDescent="0.3">
      <c r="A888" s="4"/>
      <c r="B888" s="4"/>
      <c r="C888" s="4"/>
      <c r="D888" s="4"/>
      <c r="E888" s="4"/>
    </row>
    <row r="889" spans="1:5" ht="15.75" customHeight="1" x14ac:dyDescent="0.3">
      <c r="A889" s="4"/>
      <c r="B889" s="4"/>
      <c r="C889" s="4"/>
      <c r="D889" s="4"/>
      <c r="E889" s="4"/>
    </row>
    <row r="890" spans="1:5" ht="15.75" customHeight="1" x14ac:dyDescent="0.3">
      <c r="A890" s="4"/>
      <c r="B890" s="4"/>
      <c r="C890" s="4"/>
      <c r="D890" s="4"/>
      <c r="E890" s="4"/>
    </row>
    <row r="891" spans="1:5" ht="15.75" customHeight="1" x14ac:dyDescent="0.3">
      <c r="A891" s="4"/>
      <c r="B891" s="4"/>
      <c r="C891" s="4"/>
      <c r="D891" s="4"/>
      <c r="E891" s="4"/>
    </row>
    <row r="892" spans="1:5" ht="15.75" customHeight="1" x14ac:dyDescent="0.3">
      <c r="A892" s="4"/>
      <c r="B892" s="4"/>
      <c r="C892" s="4"/>
      <c r="D892" s="4"/>
      <c r="E892" s="4"/>
    </row>
    <row r="893" spans="1:5" ht="15.75" customHeight="1" x14ac:dyDescent="0.3">
      <c r="A893" s="4"/>
      <c r="B893" s="4"/>
      <c r="C893" s="4"/>
      <c r="D893" s="4"/>
      <c r="E893" s="4"/>
    </row>
    <row r="894" spans="1:5" ht="15.75" customHeight="1" x14ac:dyDescent="0.3">
      <c r="A894" s="4"/>
      <c r="B894" s="4"/>
      <c r="C894" s="4"/>
      <c r="D894" s="4"/>
      <c r="E894" s="4"/>
    </row>
    <row r="895" spans="1:5" ht="15.75" customHeight="1" x14ac:dyDescent="0.3">
      <c r="A895" s="4"/>
      <c r="B895" s="4"/>
      <c r="C895" s="4"/>
      <c r="D895" s="4"/>
      <c r="E895" s="4"/>
    </row>
    <row r="896" spans="1:5" ht="15.75" customHeight="1" x14ac:dyDescent="0.3">
      <c r="A896" s="4"/>
      <c r="B896" s="4"/>
      <c r="C896" s="4"/>
      <c r="D896" s="4"/>
      <c r="E896" s="4"/>
    </row>
    <row r="897" spans="1:5" ht="15.75" customHeight="1" x14ac:dyDescent="0.3">
      <c r="A897" s="4"/>
      <c r="B897" s="4"/>
      <c r="C897" s="4"/>
      <c r="D897" s="4"/>
      <c r="E897" s="4"/>
    </row>
    <row r="898" spans="1:5" ht="15.75" customHeight="1" x14ac:dyDescent="0.3">
      <c r="A898" s="4"/>
      <c r="B898" s="4"/>
      <c r="C898" s="4"/>
      <c r="D898" s="4"/>
      <c r="E898" s="4"/>
    </row>
    <row r="899" spans="1:5" ht="15.75" customHeight="1" x14ac:dyDescent="0.3">
      <c r="A899" s="4"/>
      <c r="B899" s="4"/>
      <c r="C899" s="4"/>
      <c r="D899" s="4"/>
      <c r="E899" s="4"/>
    </row>
    <row r="900" spans="1:5" ht="15.75" customHeight="1" x14ac:dyDescent="0.3">
      <c r="A900" s="4"/>
      <c r="B900" s="4"/>
      <c r="C900" s="4"/>
      <c r="D900" s="4"/>
      <c r="E900" s="4"/>
    </row>
    <row r="901" spans="1:5" ht="15.75" customHeight="1" x14ac:dyDescent="0.3">
      <c r="A901" s="4"/>
      <c r="B901" s="4"/>
      <c r="C901" s="4"/>
      <c r="D901" s="4"/>
      <c r="E901" s="4"/>
    </row>
    <row r="902" spans="1:5" ht="15.75" customHeight="1" x14ac:dyDescent="0.3">
      <c r="A902" s="4"/>
      <c r="B902" s="4"/>
      <c r="C902" s="4"/>
      <c r="D902" s="4"/>
      <c r="E902" s="4"/>
    </row>
    <row r="903" spans="1:5" ht="15.75" customHeight="1" x14ac:dyDescent="0.3">
      <c r="A903" s="4"/>
      <c r="B903" s="4"/>
      <c r="C903" s="4"/>
      <c r="D903" s="4"/>
      <c r="E903" s="4"/>
    </row>
    <row r="904" spans="1:5" ht="15.75" customHeight="1" x14ac:dyDescent="0.3">
      <c r="A904" s="4"/>
      <c r="B904" s="4"/>
      <c r="C904" s="4"/>
      <c r="D904" s="4"/>
      <c r="E904" s="4"/>
    </row>
    <row r="905" spans="1:5" ht="15.75" customHeight="1" x14ac:dyDescent="0.3">
      <c r="A905" s="4"/>
      <c r="B905" s="4"/>
      <c r="C905" s="4"/>
      <c r="D905" s="4"/>
      <c r="E905" s="4"/>
    </row>
    <row r="906" spans="1:5" ht="15.75" customHeight="1" x14ac:dyDescent="0.3">
      <c r="A906" s="4"/>
      <c r="B906" s="4"/>
      <c r="C906" s="4"/>
      <c r="D906" s="4"/>
      <c r="E906" s="4"/>
    </row>
    <row r="907" spans="1:5" ht="15.75" customHeight="1" x14ac:dyDescent="0.3">
      <c r="A907" s="4"/>
      <c r="B907" s="4"/>
      <c r="C907" s="4"/>
      <c r="D907" s="4"/>
      <c r="E907" s="4"/>
    </row>
    <row r="908" spans="1:5" ht="15.75" customHeight="1" x14ac:dyDescent="0.3">
      <c r="A908" s="4"/>
      <c r="B908" s="4"/>
      <c r="C908" s="4"/>
      <c r="D908" s="4"/>
      <c r="E908" s="4"/>
    </row>
    <row r="909" spans="1:5" ht="15.75" customHeight="1" x14ac:dyDescent="0.3">
      <c r="A909" s="4"/>
      <c r="B909" s="4"/>
      <c r="C909" s="4"/>
      <c r="D909" s="4"/>
      <c r="E909" s="4"/>
    </row>
    <row r="910" spans="1:5" ht="15.75" customHeight="1" x14ac:dyDescent="0.3">
      <c r="A910" s="4"/>
      <c r="B910" s="4"/>
      <c r="C910" s="4"/>
      <c r="D910" s="4"/>
      <c r="E910" s="4"/>
    </row>
    <row r="911" spans="1:5" ht="15.75" customHeight="1" x14ac:dyDescent="0.3">
      <c r="A911" s="4"/>
      <c r="B911" s="4"/>
      <c r="C911" s="4"/>
      <c r="D911" s="4"/>
      <c r="E911" s="4"/>
    </row>
    <row r="912" spans="1:5" ht="15.75" customHeight="1" x14ac:dyDescent="0.3">
      <c r="A912" s="4"/>
      <c r="B912" s="4"/>
      <c r="C912" s="4"/>
      <c r="D912" s="4"/>
      <c r="E912" s="4"/>
    </row>
    <row r="913" spans="1:5" ht="15.75" customHeight="1" x14ac:dyDescent="0.3">
      <c r="A913" s="4"/>
      <c r="B913" s="4"/>
      <c r="C913" s="4"/>
      <c r="D913" s="4"/>
      <c r="E913" s="4"/>
    </row>
    <row r="914" spans="1:5" ht="15.75" customHeight="1" x14ac:dyDescent="0.3">
      <c r="A914" s="4"/>
      <c r="B914" s="4"/>
      <c r="C914" s="4"/>
      <c r="D914" s="4"/>
      <c r="E914" s="4"/>
    </row>
    <row r="915" spans="1:5" ht="15.75" customHeight="1" x14ac:dyDescent="0.3">
      <c r="A915" s="4"/>
      <c r="B915" s="4"/>
      <c r="C915" s="4"/>
      <c r="D915" s="4"/>
      <c r="E915" s="4"/>
    </row>
    <row r="916" spans="1:5" ht="15.75" customHeight="1" x14ac:dyDescent="0.3">
      <c r="A916" s="4"/>
      <c r="B916" s="4"/>
      <c r="C916" s="4"/>
      <c r="D916" s="4"/>
      <c r="E916" s="4"/>
    </row>
    <row r="917" spans="1:5" ht="15.75" customHeight="1" x14ac:dyDescent="0.3">
      <c r="A917" s="4"/>
      <c r="B917" s="4"/>
      <c r="C917" s="4"/>
      <c r="D917" s="4"/>
      <c r="E917" s="4"/>
    </row>
    <row r="918" spans="1:5" ht="15.75" customHeight="1" x14ac:dyDescent="0.3">
      <c r="A918" s="4"/>
      <c r="B918" s="4"/>
      <c r="C918" s="4"/>
      <c r="D918" s="4"/>
      <c r="E918" s="4"/>
    </row>
    <row r="919" spans="1:5" ht="15.75" customHeight="1" x14ac:dyDescent="0.3">
      <c r="A919" s="4"/>
      <c r="B919" s="4"/>
      <c r="C919" s="4"/>
      <c r="D919" s="4"/>
      <c r="E919" s="4"/>
    </row>
    <row r="920" spans="1:5" ht="15.75" customHeight="1" x14ac:dyDescent="0.3">
      <c r="A920" s="4"/>
      <c r="B920" s="4"/>
      <c r="C920" s="4"/>
      <c r="D920" s="4"/>
      <c r="E920" s="4"/>
    </row>
    <row r="921" spans="1:5" ht="15.75" customHeight="1" x14ac:dyDescent="0.3">
      <c r="A921" s="4"/>
      <c r="B921" s="4"/>
      <c r="C921" s="4"/>
      <c r="D921" s="4"/>
      <c r="E921" s="4"/>
    </row>
    <row r="922" spans="1:5" ht="15.75" customHeight="1" x14ac:dyDescent="0.3">
      <c r="A922" s="4"/>
      <c r="B922" s="4"/>
      <c r="C922" s="4"/>
      <c r="D922" s="4"/>
      <c r="E922" s="4"/>
    </row>
    <row r="923" spans="1:5" ht="15.75" customHeight="1" x14ac:dyDescent="0.3">
      <c r="A923" s="4"/>
      <c r="B923" s="4"/>
      <c r="C923" s="4"/>
      <c r="D923" s="4"/>
      <c r="E923" s="4"/>
    </row>
    <row r="924" spans="1:5" ht="15.75" customHeight="1" x14ac:dyDescent="0.3">
      <c r="A924" s="4"/>
      <c r="B924" s="4"/>
      <c r="C924" s="4"/>
      <c r="D924" s="4"/>
      <c r="E924" s="4"/>
    </row>
    <row r="925" spans="1:5" ht="15.75" customHeight="1" x14ac:dyDescent="0.3">
      <c r="A925" s="4"/>
      <c r="B925" s="4"/>
      <c r="C925" s="4"/>
      <c r="D925" s="4"/>
      <c r="E925" s="4"/>
    </row>
    <row r="926" spans="1:5" ht="15.75" customHeight="1" x14ac:dyDescent="0.3">
      <c r="A926" s="4"/>
      <c r="B926" s="4"/>
      <c r="C926" s="4"/>
      <c r="D926" s="4"/>
      <c r="E926" s="4"/>
    </row>
    <row r="927" spans="1:5" ht="15.75" customHeight="1" x14ac:dyDescent="0.3">
      <c r="A927" s="4"/>
      <c r="B927" s="4"/>
      <c r="C927" s="4"/>
      <c r="D927" s="4"/>
      <c r="E927" s="4"/>
    </row>
    <row r="928" spans="1:5" ht="15.75" customHeight="1" x14ac:dyDescent="0.3">
      <c r="A928" s="4"/>
      <c r="B928" s="4"/>
      <c r="C928" s="4"/>
      <c r="D928" s="4"/>
      <c r="E928" s="4"/>
    </row>
    <row r="929" spans="1:5" ht="15.75" customHeight="1" x14ac:dyDescent="0.3">
      <c r="A929" s="4"/>
      <c r="B929" s="4"/>
      <c r="C929" s="4"/>
      <c r="D929" s="4"/>
      <c r="E929" s="4"/>
    </row>
    <row r="930" spans="1:5" ht="15.75" customHeight="1" x14ac:dyDescent="0.3">
      <c r="A930" s="4"/>
      <c r="B930" s="4"/>
      <c r="C930" s="4"/>
      <c r="D930" s="4"/>
      <c r="E930" s="4"/>
    </row>
    <row r="931" spans="1:5" ht="15.75" customHeight="1" x14ac:dyDescent="0.3">
      <c r="A931" s="4"/>
      <c r="B931" s="4"/>
      <c r="C931" s="4"/>
      <c r="D931" s="4"/>
      <c r="E931" s="4"/>
    </row>
    <row r="932" spans="1:5" ht="15.75" customHeight="1" x14ac:dyDescent="0.3">
      <c r="A932" s="4"/>
      <c r="B932" s="4"/>
      <c r="C932" s="4"/>
      <c r="D932" s="4"/>
      <c r="E932" s="4"/>
    </row>
    <row r="933" spans="1:5" ht="15.75" customHeight="1" x14ac:dyDescent="0.3">
      <c r="A933" s="4"/>
      <c r="B933" s="4"/>
      <c r="C933" s="4"/>
      <c r="D933" s="4"/>
      <c r="E933" s="4"/>
    </row>
    <row r="934" spans="1:5" ht="15.75" customHeight="1" x14ac:dyDescent="0.3">
      <c r="A934" s="4"/>
      <c r="B934" s="4"/>
      <c r="C934" s="4"/>
      <c r="D934" s="4"/>
      <c r="E934" s="4"/>
    </row>
    <row r="935" spans="1:5" ht="15.75" customHeight="1" x14ac:dyDescent="0.3">
      <c r="A935" s="4"/>
      <c r="B935" s="4"/>
      <c r="C935" s="4"/>
      <c r="D935" s="4"/>
      <c r="E935" s="4"/>
    </row>
    <row r="936" spans="1:5" ht="15.75" customHeight="1" x14ac:dyDescent="0.3">
      <c r="A936" s="4"/>
      <c r="B936" s="4"/>
      <c r="C936" s="4"/>
      <c r="D936" s="4"/>
      <c r="E936" s="4"/>
    </row>
    <row r="937" spans="1:5" ht="15.75" customHeight="1" x14ac:dyDescent="0.3">
      <c r="A937" s="4"/>
      <c r="B937" s="4"/>
      <c r="C937" s="4"/>
      <c r="D937" s="4"/>
      <c r="E937" s="4"/>
    </row>
    <row r="938" spans="1:5" ht="15.75" customHeight="1" x14ac:dyDescent="0.3">
      <c r="A938" s="4"/>
      <c r="B938" s="4"/>
      <c r="C938" s="4"/>
      <c r="D938" s="4"/>
      <c r="E938" s="4"/>
    </row>
    <row r="939" spans="1:5" ht="15.75" customHeight="1" x14ac:dyDescent="0.3">
      <c r="A939" s="4"/>
      <c r="B939" s="4"/>
      <c r="C939" s="4"/>
      <c r="D939" s="4"/>
      <c r="E939" s="4"/>
    </row>
    <row r="940" spans="1:5" ht="15.75" customHeight="1" x14ac:dyDescent="0.3">
      <c r="A940" s="4"/>
      <c r="B940" s="4"/>
      <c r="C940" s="4"/>
      <c r="D940" s="4"/>
      <c r="E940" s="4"/>
    </row>
    <row r="941" spans="1:5" ht="15.75" customHeight="1" x14ac:dyDescent="0.3">
      <c r="A941" s="4"/>
      <c r="B941" s="4"/>
      <c r="C941" s="4"/>
      <c r="D941" s="4"/>
      <c r="E941" s="4"/>
    </row>
    <row r="942" spans="1:5" ht="15.75" customHeight="1" x14ac:dyDescent="0.3">
      <c r="A942" s="4"/>
      <c r="B942" s="4"/>
      <c r="C942" s="4"/>
      <c r="D942" s="4"/>
      <c r="E942" s="4"/>
    </row>
    <row r="943" spans="1:5" ht="15.75" customHeight="1" x14ac:dyDescent="0.3">
      <c r="A943" s="4"/>
      <c r="B943" s="4"/>
      <c r="C943" s="4"/>
      <c r="D943" s="4"/>
      <c r="E943" s="4"/>
    </row>
    <row r="944" spans="1:5" ht="15.75" customHeight="1" x14ac:dyDescent="0.3">
      <c r="A944" s="4"/>
      <c r="B944" s="4"/>
      <c r="C944" s="4"/>
      <c r="D944" s="4"/>
      <c r="E944" s="4"/>
    </row>
    <row r="945" spans="1:5" ht="15.75" customHeight="1" x14ac:dyDescent="0.3">
      <c r="A945" s="4"/>
      <c r="B945" s="4"/>
      <c r="C945" s="4"/>
      <c r="D945" s="4"/>
      <c r="E945" s="4"/>
    </row>
    <row r="946" spans="1:5" ht="15.75" customHeight="1" x14ac:dyDescent="0.3">
      <c r="A946" s="4"/>
      <c r="B946" s="4"/>
      <c r="C946" s="4"/>
      <c r="D946" s="4"/>
      <c r="E946" s="4"/>
    </row>
    <row r="947" spans="1:5" ht="15.75" customHeight="1" x14ac:dyDescent="0.3">
      <c r="A947" s="4"/>
      <c r="B947" s="4"/>
      <c r="C947" s="4"/>
      <c r="D947" s="4"/>
      <c r="E947" s="4"/>
    </row>
    <row r="948" spans="1:5" ht="15.75" customHeight="1" x14ac:dyDescent="0.3">
      <c r="A948" s="4"/>
      <c r="B948" s="4"/>
      <c r="C948" s="4"/>
      <c r="D948" s="4"/>
      <c r="E948" s="4"/>
    </row>
    <row r="949" spans="1:5" ht="15.75" customHeight="1" x14ac:dyDescent="0.3">
      <c r="A949" s="4"/>
      <c r="B949" s="4"/>
      <c r="C949" s="4"/>
      <c r="D949" s="4"/>
      <c r="E949" s="4"/>
    </row>
    <row r="950" spans="1:5" ht="15.75" customHeight="1" x14ac:dyDescent="0.3">
      <c r="A950" s="4"/>
      <c r="B950" s="4"/>
      <c r="C950" s="4"/>
      <c r="D950" s="4"/>
      <c r="E950" s="4"/>
    </row>
    <row r="951" spans="1:5" ht="15.75" customHeight="1" x14ac:dyDescent="0.3">
      <c r="A951" s="4"/>
      <c r="B951" s="4"/>
      <c r="C951" s="4"/>
      <c r="D951" s="4"/>
      <c r="E951" s="4"/>
    </row>
    <row r="952" spans="1:5" ht="15.75" customHeight="1" x14ac:dyDescent="0.3">
      <c r="A952" s="4"/>
      <c r="B952" s="4"/>
      <c r="C952" s="4"/>
      <c r="D952" s="4"/>
      <c r="E952" s="4"/>
    </row>
    <row r="953" spans="1:5" ht="15.75" customHeight="1" x14ac:dyDescent="0.3">
      <c r="A953" s="4"/>
      <c r="B953" s="4"/>
      <c r="C953" s="4"/>
      <c r="D953" s="4"/>
      <c r="E953" s="4"/>
    </row>
    <row r="954" spans="1:5" ht="15.75" customHeight="1" x14ac:dyDescent="0.3">
      <c r="A954" s="4"/>
      <c r="B954" s="4"/>
      <c r="C954" s="4"/>
      <c r="D954" s="4"/>
      <c r="E954" s="4"/>
    </row>
    <row r="955" spans="1:5" ht="15.75" customHeight="1" x14ac:dyDescent="0.3">
      <c r="A955" s="4"/>
      <c r="B955" s="4"/>
      <c r="C955" s="4"/>
      <c r="D955" s="4"/>
      <c r="E955" s="4"/>
    </row>
    <row r="956" spans="1:5" ht="15.75" customHeight="1" x14ac:dyDescent="0.3">
      <c r="A956" s="4"/>
      <c r="B956" s="4"/>
      <c r="C956" s="4"/>
      <c r="D956" s="4"/>
      <c r="E956" s="4"/>
    </row>
    <row r="957" spans="1:5" ht="15.75" customHeight="1" x14ac:dyDescent="0.3">
      <c r="A957" s="4"/>
      <c r="B957" s="4"/>
      <c r="C957" s="4"/>
      <c r="D957" s="4"/>
      <c r="E957" s="4"/>
    </row>
    <row r="958" spans="1:5" ht="15.75" customHeight="1" x14ac:dyDescent="0.3">
      <c r="A958" s="4"/>
      <c r="B958" s="4"/>
      <c r="C958" s="4"/>
      <c r="D958" s="4"/>
      <c r="E958" s="4"/>
    </row>
    <row r="959" spans="1:5" ht="15.75" customHeight="1" x14ac:dyDescent="0.3">
      <c r="A959" s="4"/>
      <c r="B959" s="4"/>
      <c r="C959" s="4"/>
      <c r="D959" s="4"/>
      <c r="E959" s="4"/>
    </row>
    <row r="960" spans="1:5" ht="15.75" customHeight="1" x14ac:dyDescent="0.3">
      <c r="A960" s="4"/>
      <c r="B960" s="4"/>
      <c r="C960" s="4"/>
      <c r="D960" s="4"/>
      <c r="E960" s="4"/>
    </row>
    <row r="961" spans="1:5" ht="15.75" customHeight="1" x14ac:dyDescent="0.3">
      <c r="A961" s="4"/>
      <c r="B961" s="4"/>
      <c r="C961" s="4"/>
      <c r="D961" s="4"/>
      <c r="E961" s="4"/>
    </row>
    <row r="962" spans="1:5" ht="15.75" customHeight="1" x14ac:dyDescent="0.3">
      <c r="A962" s="4"/>
      <c r="B962" s="4"/>
      <c r="C962" s="4"/>
      <c r="D962" s="4"/>
      <c r="E962" s="4"/>
    </row>
    <row r="963" spans="1:5" ht="15.75" customHeight="1" x14ac:dyDescent="0.3">
      <c r="A963" s="4"/>
      <c r="B963" s="4"/>
      <c r="C963" s="4"/>
      <c r="D963" s="4"/>
      <c r="E963" s="4"/>
    </row>
    <row r="964" spans="1:5" ht="15.75" customHeight="1" x14ac:dyDescent="0.3">
      <c r="A964" s="4"/>
      <c r="B964" s="4"/>
      <c r="C964" s="4"/>
      <c r="D964" s="4"/>
      <c r="E964" s="4"/>
    </row>
    <row r="965" spans="1:5" ht="15.75" customHeight="1" x14ac:dyDescent="0.3">
      <c r="A965" s="4"/>
      <c r="B965" s="4"/>
      <c r="C965" s="4"/>
      <c r="D965" s="4"/>
      <c r="E965" s="4"/>
    </row>
    <row r="966" spans="1:5" ht="15.75" customHeight="1" x14ac:dyDescent="0.3">
      <c r="A966" s="4"/>
      <c r="B966" s="4"/>
      <c r="C966" s="4"/>
      <c r="D966" s="4"/>
      <c r="E966" s="4"/>
    </row>
    <row r="967" spans="1:5" ht="15.75" customHeight="1" x14ac:dyDescent="0.3">
      <c r="A967" s="4"/>
      <c r="B967" s="4"/>
      <c r="C967" s="4"/>
      <c r="D967" s="4"/>
      <c r="E967" s="4"/>
    </row>
    <row r="968" spans="1:5" ht="15.75" customHeight="1" x14ac:dyDescent="0.3">
      <c r="A968" s="4"/>
      <c r="B968" s="4"/>
      <c r="C968" s="4"/>
      <c r="D968" s="4"/>
      <c r="E968" s="4"/>
    </row>
    <row r="969" spans="1:5" ht="15.75" customHeight="1" x14ac:dyDescent="0.3">
      <c r="A969" s="4"/>
      <c r="B969" s="4"/>
      <c r="C969" s="4"/>
      <c r="D969" s="4"/>
      <c r="E969" s="4"/>
    </row>
    <row r="970" spans="1:5" ht="15.75" customHeight="1" x14ac:dyDescent="0.3">
      <c r="A970" s="4"/>
      <c r="B970" s="4"/>
      <c r="C970" s="4"/>
      <c r="D970" s="4"/>
      <c r="E970" s="4"/>
    </row>
    <row r="971" spans="1:5" ht="15.75" customHeight="1" x14ac:dyDescent="0.3">
      <c r="A971" s="4"/>
      <c r="B971" s="4"/>
      <c r="C971" s="4"/>
      <c r="D971" s="4"/>
      <c r="E971" s="4"/>
    </row>
    <row r="972" spans="1:5" ht="15.75" customHeight="1" x14ac:dyDescent="0.3">
      <c r="A972" s="4"/>
      <c r="B972" s="4"/>
      <c r="C972" s="4"/>
      <c r="D972" s="4"/>
      <c r="E972" s="4"/>
    </row>
    <row r="973" spans="1:5" ht="15.75" customHeight="1" x14ac:dyDescent="0.3">
      <c r="A973" s="4"/>
      <c r="B973" s="4"/>
      <c r="C973" s="4"/>
      <c r="D973" s="4"/>
      <c r="E973" s="4"/>
    </row>
    <row r="974" spans="1:5" ht="15.75" customHeight="1" x14ac:dyDescent="0.3">
      <c r="A974" s="4"/>
      <c r="B974" s="4"/>
      <c r="C974" s="4"/>
      <c r="D974" s="4"/>
      <c r="E974" s="4"/>
    </row>
    <row r="975" spans="1:5" ht="15.75" customHeight="1" x14ac:dyDescent="0.3">
      <c r="A975" s="4"/>
      <c r="B975" s="4"/>
      <c r="C975" s="4"/>
      <c r="D975" s="4"/>
      <c r="E975" s="4"/>
    </row>
    <row r="976" spans="1:5" ht="15.75" customHeight="1" x14ac:dyDescent="0.3">
      <c r="A976" s="4"/>
      <c r="B976" s="4"/>
      <c r="C976" s="4"/>
      <c r="D976" s="4"/>
      <c r="E976" s="4"/>
    </row>
    <row r="977" spans="1:5" ht="15.75" customHeight="1" x14ac:dyDescent="0.3">
      <c r="A977" s="4"/>
      <c r="B977" s="4"/>
      <c r="C977" s="4"/>
      <c r="D977" s="4"/>
      <c r="E977" s="4"/>
    </row>
    <row r="978" spans="1:5" ht="15.75" customHeight="1" x14ac:dyDescent="0.3">
      <c r="A978" s="4"/>
      <c r="B978" s="4"/>
      <c r="C978" s="4"/>
      <c r="D978" s="4"/>
      <c r="E978" s="4"/>
    </row>
    <row r="979" spans="1:5" ht="15.75" customHeight="1" x14ac:dyDescent="0.3">
      <c r="A979" s="4"/>
      <c r="B979" s="4"/>
      <c r="C979" s="4"/>
      <c r="D979" s="4"/>
      <c r="E979" s="4"/>
    </row>
    <row r="980" spans="1:5" ht="15.75" customHeight="1" x14ac:dyDescent="0.3">
      <c r="A980" s="4"/>
      <c r="B980" s="4"/>
      <c r="C980" s="4"/>
      <c r="D980" s="4"/>
      <c r="E980" s="4"/>
    </row>
    <row r="981" spans="1:5" ht="15.75" customHeight="1" x14ac:dyDescent="0.3">
      <c r="A981" s="4"/>
      <c r="B981" s="4"/>
      <c r="C981" s="4"/>
      <c r="D981" s="4"/>
      <c r="E981" s="4"/>
    </row>
    <row r="982" spans="1:5" ht="15.75" customHeight="1" x14ac:dyDescent="0.3">
      <c r="A982" s="4"/>
      <c r="B982" s="4"/>
      <c r="C982" s="4"/>
      <c r="D982" s="4"/>
      <c r="E982" s="4"/>
    </row>
    <row r="983" spans="1:5" ht="15.75" customHeight="1" x14ac:dyDescent="0.3">
      <c r="A983" s="4"/>
      <c r="B983" s="4"/>
      <c r="C983" s="4"/>
      <c r="D983" s="4"/>
      <c r="E983" s="4"/>
    </row>
    <row r="984" spans="1:5" ht="15.75" customHeight="1" x14ac:dyDescent="0.3">
      <c r="A984" s="4"/>
      <c r="B984" s="4"/>
      <c r="C984" s="4"/>
      <c r="D984" s="4"/>
      <c r="E984" s="4"/>
    </row>
    <row r="985" spans="1:5" ht="15.75" customHeight="1" x14ac:dyDescent="0.3">
      <c r="A985" s="4"/>
      <c r="B985" s="4"/>
      <c r="C985" s="4"/>
      <c r="D985" s="4"/>
      <c r="E985" s="4"/>
    </row>
    <row r="986" spans="1:5" ht="15.75" customHeight="1" x14ac:dyDescent="0.3">
      <c r="A986" s="4"/>
      <c r="B986" s="4"/>
      <c r="C986" s="4"/>
      <c r="D986" s="4"/>
      <c r="E986" s="4"/>
    </row>
    <row r="987" spans="1:5" ht="15.75" customHeight="1" x14ac:dyDescent="0.3">
      <c r="A987" s="4"/>
      <c r="B987" s="4"/>
      <c r="C987" s="4"/>
      <c r="D987" s="4"/>
      <c r="E987" s="4"/>
    </row>
    <row r="988" spans="1:5" ht="15.75" customHeight="1" x14ac:dyDescent="0.3">
      <c r="A988" s="4"/>
      <c r="B988" s="4"/>
      <c r="C988" s="4"/>
      <c r="D988" s="4"/>
      <c r="E988" s="4"/>
    </row>
    <row r="989" spans="1:5" ht="15.75" customHeight="1" x14ac:dyDescent="0.3">
      <c r="A989" s="4"/>
      <c r="B989" s="4"/>
      <c r="C989" s="4"/>
      <c r="D989" s="4"/>
      <c r="E989" s="4"/>
    </row>
    <row r="990" spans="1:5" ht="15.75" customHeight="1" x14ac:dyDescent="0.3">
      <c r="A990" s="4"/>
      <c r="B990" s="4"/>
      <c r="C990" s="4"/>
      <c r="D990" s="4"/>
      <c r="E990" s="4"/>
    </row>
    <row r="991" spans="1:5" ht="15.75" customHeight="1" x14ac:dyDescent="0.3">
      <c r="A991" s="4"/>
      <c r="B991" s="4"/>
      <c r="C991" s="4"/>
      <c r="D991" s="4"/>
      <c r="E991" s="4"/>
    </row>
    <row r="992" spans="1:5" ht="15.75" customHeight="1" x14ac:dyDescent="0.3">
      <c r="A992" s="4"/>
      <c r="B992" s="4"/>
      <c r="C992" s="4"/>
      <c r="D992" s="4"/>
      <c r="E992" s="4"/>
    </row>
    <row r="993" spans="1:5" ht="15.75" customHeight="1" x14ac:dyDescent="0.3">
      <c r="A993" s="4"/>
      <c r="B993" s="4"/>
      <c r="C993" s="4"/>
      <c r="D993" s="4"/>
      <c r="E993" s="4"/>
    </row>
    <row r="994" spans="1:5" ht="15.75" customHeight="1" x14ac:dyDescent="0.3">
      <c r="A994" s="4"/>
      <c r="B994" s="4"/>
      <c r="C994" s="4"/>
      <c r="D994" s="4"/>
      <c r="E994" s="4"/>
    </row>
    <row r="995" spans="1:5" ht="15.75" customHeight="1" x14ac:dyDescent="0.3">
      <c r="A995" s="4"/>
      <c r="B995" s="4"/>
      <c r="C995" s="4"/>
      <c r="D995" s="4"/>
      <c r="E995" s="4"/>
    </row>
    <row r="996" spans="1:5" ht="15.75" customHeight="1" x14ac:dyDescent="0.3">
      <c r="A996" s="4"/>
      <c r="B996" s="4"/>
      <c r="C996" s="4"/>
      <c r="D996" s="4"/>
      <c r="E996" s="4"/>
    </row>
    <row r="997" spans="1:5" ht="15.75" customHeight="1" x14ac:dyDescent="0.3">
      <c r="A997" s="4"/>
      <c r="B997" s="4"/>
      <c r="C997" s="4"/>
      <c r="D997" s="4"/>
      <c r="E997" s="4"/>
    </row>
    <row r="998" spans="1:5" ht="15.75" customHeight="1" x14ac:dyDescent="0.3">
      <c r="A998" s="4"/>
      <c r="B998" s="4"/>
      <c r="C998" s="4"/>
      <c r="D998" s="4"/>
      <c r="E998" s="4"/>
    </row>
    <row r="999" spans="1:5" ht="15.75" customHeight="1" x14ac:dyDescent="0.3">
      <c r="A999" s="4"/>
      <c r="B999" s="4"/>
      <c r="C999" s="4"/>
      <c r="D999" s="4"/>
      <c r="E999" s="4"/>
    </row>
    <row r="1000" spans="1:5" ht="15.75" customHeight="1" x14ac:dyDescent="0.3">
      <c r="A1000" s="4"/>
      <c r="B1000" s="4"/>
      <c r="C1000" s="4"/>
      <c r="D1000" s="4"/>
      <c r="E1000" s="4"/>
    </row>
  </sheetData>
  <mergeCells count="1">
    <mergeCell ref="A1:E1"/>
  </mergeCells>
  <phoneticPr fontId="14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4.44140625" defaultRowHeight="15" customHeight="1" x14ac:dyDescent="0.3"/>
  <cols>
    <col min="1" max="1" width="26" customWidth="1"/>
    <col min="2" max="2" width="22" customWidth="1"/>
    <col min="3" max="3" width="45" customWidth="1"/>
    <col min="4" max="4" width="22" customWidth="1"/>
    <col min="5" max="5" width="10" customWidth="1"/>
    <col min="6" max="26" width="8.6640625" customWidth="1"/>
  </cols>
  <sheetData>
    <row r="1" spans="1:5" ht="21" customHeight="1" x14ac:dyDescent="0.3">
      <c r="A1" s="59" t="s">
        <v>957</v>
      </c>
      <c r="B1" s="60"/>
      <c r="C1" s="60"/>
      <c r="D1" s="60"/>
      <c r="E1" s="60"/>
    </row>
    <row r="2" spans="1:5" ht="14.4" x14ac:dyDescent="0.3">
      <c r="A2" s="4"/>
      <c r="B2" s="4"/>
      <c r="C2" s="4"/>
      <c r="D2" s="4"/>
      <c r="E2" s="4"/>
    </row>
    <row r="3" spans="1:5" ht="16.5" customHeight="1" x14ac:dyDescent="0.3">
      <c r="A3" s="54" t="s">
        <v>958</v>
      </c>
      <c r="B3" s="32" t="s">
        <v>959</v>
      </c>
      <c r="C3" s="32" t="s">
        <v>960</v>
      </c>
      <c r="D3" s="32" t="s">
        <v>961</v>
      </c>
      <c r="E3" s="32" t="s">
        <v>962</v>
      </c>
    </row>
    <row r="4" spans="1:5" ht="29.25" customHeight="1" x14ac:dyDescent="0.3">
      <c r="A4" s="17" t="s">
        <v>963</v>
      </c>
      <c r="B4" s="19" t="s">
        <v>964</v>
      </c>
      <c r="C4" s="17" t="s">
        <v>965</v>
      </c>
      <c r="D4" s="17" t="s">
        <v>966</v>
      </c>
      <c r="E4" s="19" t="s">
        <v>967</v>
      </c>
    </row>
    <row r="5" spans="1:5" ht="29.25" customHeight="1" x14ac:dyDescent="0.3">
      <c r="A5" s="17" t="s">
        <v>968</v>
      </c>
      <c r="B5" s="19" t="s">
        <v>969</v>
      </c>
      <c r="C5" s="17" t="s">
        <v>970</v>
      </c>
      <c r="D5" s="17" t="s">
        <v>971</v>
      </c>
      <c r="E5" s="19" t="s">
        <v>967</v>
      </c>
    </row>
    <row r="6" spans="1:5" ht="15" customHeight="1" x14ac:dyDescent="0.3">
      <c r="A6" s="17" t="s">
        <v>972</v>
      </c>
      <c r="B6" s="19" t="s">
        <v>973</v>
      </c>
      <c r="C6" s="17" t="s">
        <v>974</v>
      </c>
      <c r="D6" s="17" t="s">
        <v>975</v>
      </c>
      <c r="E6" s="19" t="s">
        <v>967</v>
      </c>
    </row>
    <row r="7" spans="1:5" ht="15" customHeight="1" x14ac:dyDescent="0.3">
      <c r="A7" s="17"/>
      <c r="B7" s="19" t="s">
        <v>976</v>
      </c>
      <c r="C7" s="17" t="s">
        <v>977</v>
      </c>
      <c r="D7" s="17" t="s">
        <v>978</v>
      </c>
      <c r="E7" s="19" t="s">
        <v>967</v>
      </c>
    </row>
    <row r="8" spans="1:5" ht="15" customHeight="1" x14ac:dyDescent="0.3">
      <c r="A8" s="17"/>
      <c r="B8" s="19" t="s">
        <v>979</v>
      </c>
      <c r="C8" s="19" t="s">
        <v>980</v>
      </c>
      <c r="D8" s="17" t="s">
        <v>981</v>
      </c>
      <c r="E8" s="19" t="s">
        <v>967</v>
      </c>
    </row>
    <row r="9" spans="1:5" ht="15" customHeight="1" x14ac:dyDescent="0.3">
      <c r="A9" s="17"/>
      <c r="B9" s="19" t="s">
        <v>982</v>
      </c>
      <c r="C9" s="17" t="s">
        <v>983</v>
      </c>
      <c r="D9" s="17" t="s">
        <v>984</v>
      </c>
      <c r="E9" s="19" t="s">
        <v>967</v>
      </c>
    </row>
    <row r="10" spans="1:5" ht="15" customHeight="1" x14ac:dyDescent="0.3">
      <c r="A10" s="17"/>
      <c r="B10" s="19" t="s">
        <v>985</v>
      </c>
      <c r="C10" s="19" t="s">
        <v>986</v>
      </c>
      <c r="D10" s="19" t="s">
        <v>987</v>
      </c>
      <c r="E10" s="19" t="s">
        <v>967</v>
      </c>
    </row>
    <row r="11" spans="1:5" ht="15" customHeight="1" x14ac:dyDescent="0.3">
      <c r="A11" s="17"/>
      <c r="B11" s="17" t="s">
        <v>988</v>
      </c>
      <c r="C11" s="19" t="s">
        <v>989</v>
      </c>
      <c r="D11" s="17" t="s">
        <v>990</v>
      </c>
      <c r="E11" s="19" t="s">
        <v>967</v>
      </c>
    </row>
    <row r="12" spans="1:5" ht="15" customHeight="1" x14ac:dyDescent="0.3">
      <c r="A12" s="17"/>
      <c r="B12" s="17" t="s">
        <v>991</v>
      </c>
      <c r="C12" s="19" t="s">
        <v>992</v>
      </c>
      <c r="D12" s="17" t="s">
        <v>993</v>
      </c>
      <c r="E12" s="19" t="s">
        <v>967</v>
      </c>
    </row>
    <row r="13" spans="1:5" ht="15" customHeight="1" x14ac:dyDescent="0.3">
      <c r="A13" s="17" t="s">
        <v>994</v>
      </c>
      <c r="B13" s="17" t="s">
        <v>995</v>
      </c>
      <c r="C13" s="17" t="s">
        <v>996</v>
      </c>
      <c r="D13" s="19" t="s">
        <v>997</v>
      </c>
      <c r="E13" s="19" t="s">
        <v>967</v>
      </c>
    </row>
    <row r="14" spans="1:5" ht="15" customHeight="1" x14ac:dyDescent="0.3">
      <c r="A14" s="17"/>
      <c r="B14" s="19" t="s">
        <v>998</v>
      </c>
      <c r="C14" s="17" t="s">
        <v>999</v>
      </c>
      <c r="D14" s="19" t="s">
        <v>1000</v>
      </c>
      <c r="E14" s="19" t="s">
        <v>967</v>
      </c>
    </row>
    <row r="15" spans="1:5" ht="15" customHeight="1" x14ac:dyDescent="0.3">
      <c r="A15" s="17"/>
      <c r="B15" s="19" t="s">
        <v>1001</v>
      </c>
      <c r="C15" s="17" t="s">
        <v>1002</v>
      </c>
      <c r="D15" s="17" t="s">
        <v>1003</v>
      </c>
      <c r="E15" s="19" t="s">
        <v>967</v>
      </c>
    </row>
    <row r="16" spans="1:5" ht="15" customHeight="1" x14ac:dyDescent="0.3">
      <c r="A16" s="17"/>
      <c r="B16" s="19" t="s">
        <v>982</v>
      </c>
      <c r="C16" s="17" t="s">
        <v>983</v>
      </c>
      <c r="D16" s="19" t="s">
        <v>1004</v>
      </c>
      <c r="E16" s="19" t="s">
        <v>967</v>
      </c>
    </row>
    <row r="17" spans="1:5" ht="15" customHeight="1" x14ac:dyDescent="0.3">
      <c r="A17" s="17"/>
      <c r="B17" s="19" t="s">
        <v>1005</v>
      </c>
      <c r="C17" s="17" t="s">
        <v>1006</v>
      </c>
      <c r="D17" s="17" t="s">
        <v>1007</v>
      </c>
      <c r="E17" s="19" t="s">
        <v>967</v>
      </c>
    </row>
    <row r="18" spans="1:5" ht="15" customHeight="1" x14ac:dyDescent="0.3">
      <c r="A18" s="17"/>
      <c r="B18" s="17" t="s">
        <v>1008</v>
      </c>
      <c r="C18" s="19" t="s">
        <v>1009</v>
      </c>
      <c r="D18" s="17" t="s">
        <v>1010</v>
      </c>
      <c r="E18" s="19" t="s">
        <v>967</v>
      </c>
    </row>
    <row r="19" spans="1:5" ht="15" customHeight="1" x14ac:dyDescent="0.3">
      <c r="A19" s="17"/>
      <c r="B19" s="19" t="s">
        <v>1011</v>
      </c>
      <c r="C19" s="19" t="s">
        <v>1012</v>
      </c>
      <c r="D19" s="19" t="s">
        <v>1013</v>
      </c>
      <c r="E19" s="19" t="s">
        <v>967</v>
      </c>
    </row>
    <row r="20" spans="1:5" ht="72" customHeight="1" x14ac:dyDescent="0.3">
      <c r="A20" s="19" t="s">
        <v>1014</v>
      </c>
      <c r="B20" s="19" t="s">
        <v>1015</v>
      </c>
      <c r="C20" s="19" t="s">
        <v>1016</v>
      </c>
      <c r="D20" s="17" t="s">
        <v>1017</v>
      </c>
      <c r="E20" s="17" t="s">
        <v>905</v>
      </c>
    </row>
    <row r="21" spans="1:5" ht="15.75" customHeight="1" x14ac:dyDescent="0.3">
      <c r="A21" s="4"/>
      <c r="B21" s="4"/>
      <c r="C21" s="4"/>
      <c r="D21" s="4"/>
      <c r="E21" s="4"/>
    </row>
    <row r="22" spans="1:5" ht="15.75" customHeight="1" x14ac:dyDescent="0.3">
      <c r="A22" s="4"/>
      <c r="B22" s="4"/>
      <c r="C22" s="4"/>
      <c r="D22" s="4"/>
      <c r="E22" s="4"/>
    </row>
    <row r="23" spans="1:5" ht="15.75" customHeight="1" x14ac:dyDescent="0.3">
      <c r="A23" s="4"/>
      <c r="B23" s="4"/>
      <c r="C23" s="4"/>
      <c r="D23" s="4"/>
      <c r="E23" s="4"/>
    </row>
    <row r="24" spans="1:5" ht="15.75" customHeight="1" x14ac:dyDescent="0.3">
      <c r="A24" s="4"/>
      <c r="B24" s="4"/>
      <c r="C24" s="4"/>
      <c r="D24" s="4"/>
      <c r="E24" s="4"/>
    </row>
    <row r="25" spans="1:5" ht="15.75" customHeight="1" x14ac:dyDescent="0.3">
      <c r="A25" s="4"/>
      <c r="B25" s="4"/>
      <c r="C25" s="4"/>
      <c r="D25" s="4"/>
      <c r="E25" s="4"/>
    </row>
    <row r="26" spans="1:5" ht="15.75" customHeight="1" x14ac:dyDescent="0.3">
      <c r="A26" s="4"/>
      <c r="B26" s="4"/>
      <c r="C26" s="4"/>
      <c r="D26" s="4"/>
      <c r="E26" s="4"/>
    </row>
    <row r="27" spans="1:5" ht="15.75" customHeight="1" x14ac:dyDescent="0.3">
      <c r="A27" s="4"/>
      <c r="B27" s="4"/>
      <c r="C27" s="4"/>
      <c r="D27" s="4"/>
      <c r="E27" s="4"/>
    </row>
    <row r="28" spans="1:5" ht="15.75" customHeight="1" x14ac:dyDescent="0.3">
      <c r="A28" s="4"/>
      <c r="B28" s="4"/>
      <c r="C28" s="4"/>
      <c r="D28" s="4"/>
      <c r="E28" s="4"/>
    </row>
    <row r="29" spans="1:5" ht="15.75" customHeight="1" x14ac:dyDescent="0.3">
      <c r="A29" s="4"/>
      <c r="B29" s="4"/>
      <c r="C29" s="4"/>
      <c r="D29" s="4"/>
      <c r="E29" s="4"/>
    </row>
    <row r="30" spans="1:5" ht="15.75" customHeight="1" x14ac:dyDescent="0.3">
      <c r="A30" s="4"/>
      <c r="B30" s="4"/>
      <c r="C30" s="4"/>
      <c r="D30" s="4"/>
      <c r="E30" s="4"/>
    </row>
    <row r="31" spans="1:5" ht="15.75" customHeight="1" x14ac:dyDescent="0.3">
      <c r="A31" s="4"/>
      <c r="B31" s="4"/>
      <c r="C31" s="4"/>
      <c r="D31" s="4"/>
      <c r="E31" s="4"/>
    </row>
    <row r="32" spans="1:5" ht="15.75" customHeight="1" x14ac:dyDescent="0.3">
      <c r="A32" s="4"/>
      <c r="B32" s="4"/>
      <c r="C32" s="4"/>
      <c r="D32" s="4"/>
      <c r="E32" s="4"/>
    </row>
    <row r="33" spans="1:5" ht="15.75" customHeight="1" x14ac:dyDescent="0.3">
      <c r="A33" s="4"/>
      <c r="B33" s="4"/>
      <c r="C33" s="4"/>
      <c r="D33" s="4"/>
      <c r="E33" s="4"/>
    </row>
    <row r="34" spans="1:5" ht="15.75" customHeight="1" x14ac:dyDescent="0.3">
      <c r="A34" s="4"/>
      <c r="B34" s="4"/>
      <c r="C34" s="4"/>
      <c r="D34" s="4"/>
      <c r="E34" s="4"/>
    </row>
    <row r="35" spans="1:5" ht="15.75" customHeight="1" x14ac:dyDescent="0.3">
      <c r="A35" s="4"/>
      <c r="B35" s="4"/>
      <c r="C35" s="4"/>
      <c r="D35" s="4"/>
      <c r="E35" s="4"/>
    </row>
    <row r="36" spans="1:5" ht="15.75" customHeight="1" x14ac:dyDescent="0.3">
      <c r="A36" s="4"/>
      <c r="B36" s="4"/>
      <c r="C36" s="4"/>
      <c r="D36" s="4"/>
      <c r="E36" s="4"/>
    </row>
    <row r="37" spans="1:5" ht="15.75" customHeight="1" x14ac:dyDescent="0.3">
      <c r="A37" s="4"/>
      <c r="B37" s="4"/>
      <c r="C37" s="4"/>
      <c r="D37" s="4"/>
      <c r="E37" s="4"/>
    </row>
    <row r="38" spans="1:5" ht="15.75" customHeight="1" x14ac:dyDescent="0.3">
      <c r="A38" s="4"/>
      <c r="B38" s="4"/>
      <c r="C38" s="4"/>
      <c r="D38" s="4"/>
      <c r="E38" s="4"/>
    </row>
    <row r="39" spans="1:5" ht="15.75" customHeight="1" x14ac:dyDescent="0.3">
      <c r="A39" s="4"/>
      <c r="B39" s="4"/>
      <c r="C39" s="4"/>
      <c r="D39" s="4"/>
      <c r="E39" s="4"/>
    </row>
    <row r="40" spans="1:5" ht="15.75" customHeight="1" x14ac:dyDescent="0.3">
      <c r="A40" s="4"/>
      <c r="B40" s="4"/>
      <c r="C40" s="4"/>
      <c r="D40" s="4"/>
      <c r="E40" s="4"/>
    </row>
    <row r="41" spans="1:5" ht="15.75" customHeight="1" x14ac:dyDescent="0.3">
      <c r="A41" s="4"/>
      <c r="B41" s="4"/>
      <c r="C41" s="4"/>
      <c r="D41" s="4"/>
      <c r="E41" s="4"/>
    </row>
    <row r="42" spans="1:5" ht="15.75" customHeight="1" x14ac:dyDescent="0.3">
      <c r="A42" s="4"/>
      <c r="B42" s="4"/>
      <c r="C42" s="4"/>
      <c r="D42" s="4"/>
      <c r="E42" s="4"/>
    </row>
    <row r="43" spans="1:5" ht="15.75" customHeight="1" x14ac:dyDescent="0.3">
      <c r="A43" s="4"/>
      <c r="B43" s="4"/>
      <c r="C43" s="4"/>
      <c r="D43" s="4"/>
      <c r="E43" s="4"/>
    </row>
    <row r="44" spans="1:5" ht="15.75" customHeight="1" x14ac:dyDescent="0.3">
      <c r="A44" s="4"/>
      <c r="B44" s="4"/>
      <c r="C44" s="4"/>
      <c r="D44" s="4"/>
      <c r="E44" s="4"/>
    </row>
    <row r="45" spans="1:5" ht="15.75" customHeight="1" x14ac:dyDescent="0.3">
      <c r="A45" s="4"/>
      <c r="B45" s="4"/>
      <c r="C45" s="4"/>
      <c r="D45" s="4"/>
      <c r="E45" s="4"/>
    </row>
    <row r="46" spans="1:5" ht="15.75" customHeight="1" x14ac:dyDescent="0.3">
      <c r="A46" s="4"/>
      <c r="B46" s="4"/>
      <c r="C46" s="4"/>
      <c r="D46" s="4"/>
      <c r="E46" s="4"/>
    </row>
    <row r="47" spans="1:5" ht="15.75" customHeight="1" x14ac:dyDescent="0.3">
      <c r="A47" s="4"/>
      <c r="B47" s="4"/>
      <c r="C47" s="4"/>
      <c r="D47" s="4"/>
      <c r="E47" s="4"/>
    </row>
    <row r="48" spans="1:5" ht="15.75" customHeight="1" x14ac:dyDescent="0.3">
      <c r="A48" s="4"/>
      <c r="B48" s="4"/>
      <c r="C48" s="4"/>
      <c r="D48" s="4"/>
      <c r="E48" s="4"/>
    </row>
    <row r="49" spans="1:5" ht="15.75" customHeight="1" x14ac:dyDescent="0.3">
      <c r="A49" s="4"/>
      <c r="B49" s="4"/>
      <c r="C49" s="4"/>
      <c r="D49" s="4"/>
      <c r="E49" s="4"/>
    </row>
    <row r="50" spans="1:5" ht="15.75" customHeight="1" x14ac:dyDescent="0.3">
      <c r="A50" s="4"/>
      <c r="B50" s="4"/>
      <c r="C50" s="4"/>
      <c r="D50" s="4"/>
      <c r="E50" s="4"/>
    </row>
    <row r="51" spans="1:5" ht="15.75" customHeight="1" x14ac:dyDescent="0.3">
      <c r="A51" s="4"/>
      <c r="B51" s="4"/>
      <c r="C51" s="4"/>
      <c r="D51" s="4"/>
      <c r="E51" s="4"/>
    </row>
    <row r="52" spans="1:5" ht="15.75" customHeight="1" x14ac:dyDescent="0.3">
      <c r="A52" s="4"/>
      <c r="B52" s="4"/>
      <c r="C52" s="4"/>
      <c r="D52" s="4"/>
      <c r="E52" s="4"/>
    </row>
    <row r="53" spans="1:5" ht="15.75" customHeight="1" x14ac:dyDescent="0.3">
      <c r="A53" s="4"/>
      <c r="B53" s="4"/>
      <c r="C53" s="4"/>
      <c r="D53" s="4"/>
      <c r="E53" s="4"/>
    </row>
    <row r="54" spans="1:5" ht="15.75" customHeight="1" x14ac:dyDescent="0.3">
      <c r="A54" s="4"/>
      <c r="B54" s="4"/>
      <c r="C54" s="4"/>
      <c r="D54" s="4"/>
      <c r="E54" s="4"/>
    </row>
    <row r="55" spans="1:5" ht="15.75" customHeight="1" x14ac:dyDescent="0.3">
      <c r="A55" s="4"/>
      <c r="B55" s="4"/>
      <c r="C55" s="4"/>
      <c r="D55" s="4"/>
      <c r="E55" s="4"/>
    </row>
    <row r="56" spans="1:5" ht="15.75" customHeight="1" x14ac:dyDescent="0.3">
      <c r="A56" s="4"/>
      <c r="B56" s="4"/>
      <c r="C56" s="4"/>
      <c r="D56" s="4"/>
      <c r="E56" s="4"/>
    </row>
    <row r="57" spans="1:5" ht="15.75" customHeight="1" x14ac:dyDescent="0.3">
      <c r="A57" s="4"/>
      <c r="B57" s="4"/>
      <c r="C57" s="4"/>
      <c r="D57" s="4"/>
      <c r="E57" s="4"/>
    </row>
    <row r="58" spans="1:5" ht="15.75" customHeight="1" x14ac:dyDescent="0.3">
      <c r="A58" s="4"/>
      <c r="B58" s="4"/>
      <c r="C58" s="4"/>
      <c r="D58" s="4"/>
      <c r="E58" s="4"/>
    </row>
    <row r="59" spans="1:5" ht="15.75" customHeight="1" x14ac:dyDescent="0.3">
      <c r="A59" s="4"/>
      <c r="B59" s="4"/>
      <c r="C59" s="4"/>
      <c r="D59" s="4"/>
      <c r="E59" s="4"/>
    </row>
    <row r="60" spans="1:5" ht="15.75" customHeight="1" x14ac:dyDescent="0.3">
      <c r="A60" s="4"/>
      <c r="B60" s="4"/>
      <c r="C60" s="4"/>
      <c r="D60" s="4"/>
      <c r="E60" s="4"/>
    </row>
    <row r="61" spans="1:5" ht="15.75" customHeight="1" x14ac:dyDescent="0.3">
      <c r="A61" s="4"/>
      <c r="B61" s="4"/>
      <c r="C61" s="4"/>
      <c r="D61" s="4"/>
      <c r="E61" s="4"/>
    </row>
    <row r="62" spans="1:5" ht="15.75" customHeight="1" x14ac:dyDescent="0.3">
      <c r="A62" s="4"/>
      <c r="B62" s="4"/>
      <c r="C62" s="4"/>
      <c r="D62" s="4"/>
      <c r="E62" s="4"/>
    </row>
    <row r="63" spans="1:5" ht="15.75" customHeight="1" x14ac:dyDescent="0.3">
      <c r="A63" s="4"/>
      <c r="B63" s="4"/>
      <c r="C63" s="4"/>
      <c r="D63" s="4"/>
      <c r="E63" s="4"/>
    </row>
    <row r="64" spans="1:5" ht="15.75" customHeight="1" x14ac:dyDescent="0.3">
      <c r="A64" s="4"/>
      <c r="B64" s="4"/>
      <c r="C64" s="4"/>
      <c r="D64" s="4"/>
      <c r="E64" s="4"/>
    </row>
    <row r="65" spans="1:5" ht="15.75" customHeight="1" x14ac:dyDescent="0.3">
      <c r="A65" s="4"/>
      <c r="B65" s="4"/>
      <c r="C65" s="4"/>
      <c r="D65" s="4"/>
      <c r="E65" s="4"/>
    </row>
    <row r="66" spans="1:5" ht="15.75" customHeight="1" x14ac:dyDescent="0.3">
      <c r="A66" s="4"/>
      <c r="B66" s="4"/>
      <c r="C66" s="4"/>
      <c r="D66" s="4"/>
      <c r="E66" s="4"/>
    </row>
    <row r="67" spans="1:5" ht="15.75" customHeight="1" x14ac:dyDescent="0.3">
      <c r="A67" s="4"/>
      <c r="B67" s="4"/>
      <c r="C67" s="4"/>
      <c r="D67" s="4"/>
      <c r="E67" s="4"/>
    </row>
    <row r="68" spans="1:5" ht="15.75" customHeight="1" x14ac:dyDescent="0.3">
      <c r="A68" s="4"/>
      <c r="B68" s="4"/>
      <c r="C68" s="4"/>
      <c r="D68" s="4"/>
      <c r="E68" s="4"/>
    </row>
    <row r="69" spans="1:5" ht="15.75" customHeight="1" x14ac:dyDescent="0.3">
      <c r="A69" s="4"/>
      <c r="B69" s="4"/>
      <c r="C69" s="4"/>
      <c r="D69" s="4"/>
      <c r="E69" s="4"/>
    </row>
    <row r="70" spans="1:5" ht="15.75" customHeight="1" x14ac:dyDescent="0.3">
      <c r="A70" s="4"/>
      <c r="B70" s="4"/>
      <c r="C70" s="4"/>
      <c r="D70" s="4"/>
      <c r="E70" s="4"/>
    </row>
    <row r="71" spans="1:5" ht="15.75" customHeight="1" x14ac:dyDescent="0.3">
      <c r="A71" s="4"/>
      <c r="B71" s="4"/>
      <c r="C71" s="4"/>
      <c r="D71" s="4"/>
      <c r="E71" s="4"/>
    </row>
    <row r="72" spans="1:5" ht="15.75" customHeight="1" x14ac:dyDescent="0.3">
      <c r="A72" s="4"/>
      <c r="B72" s="4"/>
      <c r="C72" s="4"/>
      <c r="D72" s="4"/>
      <c r="E72" s="4"/>
    </row>
    <row r="73" spans="1:5" ht="15.75" customHeight="1" x14ac:dyDescent="0.3">
      <c r="A73" s="4"/>
      <c r="B73" s="4"/>
      <c r="C73" s="4"/>
      <c r="D73" s="4"/>
      <c r="E73" s="4"/>
    </row>
    <row r="74" spans="1:5" ht="15.75" customHeight="1" x14ac:dyDescent="0.3">
      <c r="A74" s="4"/>
      <c r="B74" s="4"/>
      <c r="C74" s="4"/>
      <c r="D74" s="4"/>
      <c r="E74" s="4"/>
    </row>
    <row r="75" spans="1:5" ht="15.75" customHeight="1" x14ac:dyDescent="0.3">
      <c r="A75" s="4"/>
      <c r="B75" s="4"/>
      <c r="C75" s="4"/>
      <c r="D75" s="4"/>
      <c r="E75" s="4"/>
    </row>
    <row r="76" spans="1:5" ht="15.75" customHeight="1" x14ac:dyDescent="0.3">
      <c r="A76" s="4"/>
      <c r="B76" s="4"/>
      <c r="C76" s="4"/>
      <c r="D76" s="4"/>
      <c r="E76" s="4"/>
    </row>
    <row r="77" spans="1:5" ht="15.75" customHeight="1" x14ac:dyDescent="0.3">
      <c r="A77" s="4"/>
      <c r="B77" s="4"/>
      <c r="C77" s="4"/>
      <c r="D77" s="4"/>
      <c r="E77" s="4"/>
    </row>
    <row r="78" spans="1:5" ht="15.75" customHeight="1" x14ac:dyDescent="0.3">
      <c r="A78" s="4"/>
      <c r="B78" s="4"/>
      <c r="C78" s="4"/>
      <c r="D78" s="4"/>
      <c r="E78" s="4"/>
    </row>
    <row r="79" spans="1:5" ht="15.75" customHeight="1" x14ac:dyDescent="0.3">
      <c r="A79" s="4"/>
      <c r="B79" s="4"/>
      <c r="C79" s="4"/>
      <c r="D79" s="4"/>
      <c r="E79" s="4"/>
    </row>
    <row r="80" spans="1:5" ht="15.75" customHeight="1" x14ac:dyDescent="0.3">
      <c r="A80" s="4"/>
      <c r="B80" s="4"/>
      <c r="C80" s="4"/>
      <c r="D80" s="4"/>
      <c r="E80" s="4"/>
    </row>
    <row r="81" spans="1:5" ht="15.75" customHeight="1" x14ac:dyDescent="0.3">
      <c r="A81" s="4"/>
      <c r="B81" s="4"/>
      <c r="C81" s="4"/>
      <c r="D81" s="4"/>
      <c r="E81" s="4"/>
    </row>
    <row r="82" spans="1:5" ht="15.75" customHeight="1" x14ac:dyDescent="0.3">
      <c r="A82" s="4"/>
      <c r="B82" s="4"/>
      <c r="C82" s="4"/>
      <c r="D82" s="4"/>
      <c r="E82" s="4"/>
    </row>
    <row r="83" spans="1:5" ht="15.75" customHeight="1" x14ac:dyDescent="0.3">
      <c r="A83" s="4"/>
      <c r="B83" s="4"/>
      <c r="C83" s="4"/>
      <c r="D83" s="4"/>
      <c r="E83" s="4"/>
    </row>
    <row r="84" spans="1:5" ht="15.75" customHeight="1" x14ac:dyDescent="0.3">
      <c r="A84" s="4"/>
      <c r="B84" s="4"/>
      <c r="C84" s="4"/>
      <c r="D84" s="4"/>
      <c r="E84" s="4"/>
    </row>
    <row r="85" spans="1:5" ht="15.75" customHeight="1" x14ac:dyDescent="0.3">
      <c r="A85" s="4"/>
      <c r="B85" s="4"/>
      <c r="C85" s="4"/>
      <c r="D85" s="4"/>
      <c r="E85" s="4"/>
    </row>
    <row r="86" spans="1:5" ht="15.75" customHeight="1" x14ac:dyDescent="0.3">
      <c r="A86" s="4"/>
      <c r="B86" s="4"/>
      <c r="C86" s="4"/>
      <c r="D86" s="4"/>
      <c r="E86" s="4"/>
    </row>
    <row r="87" spans="1:5" ht="15.75" customHeight="1" x14ac:dyDescent="0.3">
      <c r="A87" s="4"/>
      <c r="B87" s="4"/>
      <c r="C87" s="4"/>
      <c r="D87" s="4"/>
      <c r="E87" s="4"/>
    </row>
    <row r="88" spans="1:5" ht="15.75" customHeight="1" x14ac:dyDescent="0.3">
      <c r="A88" s="4"/>
      <c r="B88" s="4"/>
      <c r="C88" s="4"/>
      <c r="D88" s="4"/>
      <c r="E88" s="4"/>
    </row>
    <row r="89" spans="1:5" ht="15.75" customHeight="1" x14ac:dyDescent="0.3">
      <c r="A89" s="4"/>
      <c r="B89" s="4"/>
      <c r="C89" s="4"/>
      <c r="D89" s="4"/>
      <c r="E89" s="4"/>
    </row>
    <row r="90" spans="1:5" ht="15.75" customHeight="1" x14ac:dyDescent="0.3">
      <c r="A90" s="4"/>
      <c r="B90" s="4"/>
      <c r="C90" s="4"/>
      <c r="D90" s="4"/>
      <c r="E90" s="4"/>
    </row>
    <row r="91" spans="1:5" ht="15.75" customHeight="1" x14ac:dyDescent="0.3">
      <c r="A91" s="4"/>
      <c r="B91" s="4"/>
      <c r="C91" s="4"/>
      <c r="D91" s="4"/>
      <c r="E91" s="4"/>
    </row>
    <row r="92" spans="1:5" ht="15.75" customHeight="1" x14ac:dyDescent="0.3">
      <c r="A92" s="4"/>
      <c r="B92" s="4"/>
      <c r="C92" s="4"/>
      <c r="D92" s="4"/>
      <c r="E92" s="4"/>
    </row>
    <row r="93" spans="1:5" ht="15.75" customHeight="1" x14ac:dyDescent="0.3">
      <c r="A93" s="4"/>
      <c r="B93" s="4"/>
      <c r="C93" s="4"/>
      <c r="D93" s="4"/>
      <c r="E93" s="4"/>
    </row>
    <row r="94" spans="1:5" ht="15.75" customHeight="1" x14ac:dyDescent="0.3">
      <c r="A94" s="4"/>
      <c r="B94" s="4"/>
      <c r="C94" s="4"/>
      <c r="D94" s="4"/>
      <c r="E94" s="4"/>
    </row>
    <row r="95" spans="1:5" ht="15.75" customHeight="1" x14ac:dyDescent="0.3">
      <c r="A95" s="4"/>
      <c r="B95" s="4"/>
      <c r="C95" s="4"/>
      <c r="D95" s="4"/>
      <c r="E95" s="4"/>
    </row>
    <row r="96" spans="1:5" ht="15.75" customHeight="1" x14ac:dyDescent="0.3">
      <c r="A96" s="4"/>
      <c r="B96" s="4"/>
      <c r="C96" s="4"/>
      <c r="D96" s="4"/>
      <c r="E96" s="4"/>
    </row>
    <row r="97" spans="1:5" ht="15.75" customHeight="1" x14ac:dyDescent="0.3">
      <c r="A97" s="4"/>
      <c r="B97" s="4"/>
      <c r="C97" s="4"/>
      <c r="D97" s="4"/>
      <c r="E97" s="4"/>
    </row>
    <row r="98" spans="1:5" ht="15.75" customHeight="1" x14ac:dyDescent="0.3">
      <c r="A98" s="4"/>
      <c r="B98" s="4"/>
      <c r="C98" s="4"/>
      <c r="D98" s="4"/>
      <c r="E98" s="4"/>
    </row>
    <row r="99" spans="1:5" ht="15.75" customHeight="1" x14ac:dyDescent="0.3">
      <c r="A99" s="4"/>
      <c r="B99" s="4"/>
      <c r="C99" s="4"/>
      <c r="D99" s="4"/>
      <c r="E99" s="4"/>
    </row>
    <row r="100" spans="1:5" ht="15.75" customHeight="1" x14ac:dyDescent="0.3">
      <c r="A100" s="4"/>
      <c r="B100" s="4"/>
      <c r="C100" s="4"/>
      <c r="D100" s="4"/>
      <c r="E100" s="4"/>
    </row>
    <row r="101" spans="1:5" ht="15.75" customHeight="1" x14ac:dyDescent="0.3">
      <c r="A101" s="4"/>
      <c r="B101" s="4"/>
      <c r="C101" s="4"/>
      <c r="D101" s="4"/>
      <c r="E101" s="4"/>
    </row>
    <row r="102" spans="1:5" ht="15.75" customHeight="1" x14ac:dyDescent="0.3">
      <c r="A102" s="4"/>
      <c r="B102" s="4"/>
      <c r="C102" s="4"/>
      <c r="D102" s="4"/>
      <c r="E102" s="4"/>
    </row>
    <row r="103" spans="1:5" ht="15.75" customHeight="1" x14ac:dyDescent="0.3">
      <c r="A103" s="4"/>
      <c r="B103" s="4"/>
      <c r="C103" s="4"/>
      <c r="D103" s="4"/>
      <c r="E103" s="4"/>
    </row>
    <row r="104" spans="1:5" ht="15.75" customHeight="1" x14ac:dyDescent="0.3">
      <c r="A104" s="4"/>
      <c r="B104" s="4"/>
      <c r="C104" s="4"/>
      <c r="D104" s="4"/>
      <c r="E104" s="4"/>
    </row>
    <row r="105" spans="1:5" ht="15.75" customHeight="1" x14ac:dyDescent="0.3">
      <c r="A105" s="4"/>
      <c r="B105" s="4"/>
      <c r="C105" s="4"/>
      <c r="D105" s="4"/>
      <c r="E105" s="4"/>
    </row>
    <row r="106" spans="1:5" ht="15.75" customHeight="1" x14ac:dyDescent="0.3">
      <c r="A106" s="4"/>
      <c r="B106" s="4"/>
      <c r="C106" s="4"/>
      <c r="D106" s="4"/>
      <c r="E106" s="4"/>
    </row>
    <row r="107" spans="1:5" ht="15.75" customHeight="1" x14ac:dyDescent="0.3">
      <c r="A107" s="4"/>
      <c r="B107" s="4"/>
      <c r="C107" s="4"/>
      <c r="D107" s="4"/>
      <c r="E107" s="4"/>
    </row>
    <row r="108" spans="1:5" ht="15.75" customHeight="1" x14ac:dyDescent="0.3">
      <c r="A108" s="4"/>
      <c r="B108" s="4"/>
      <c r="C108" s="4"/>
      <c r="D108" s="4"/>
      <c r="E108" s="4"/>
    </row>
    <row r="109" spans="1:5" ht="15.75" customHeight="1" x14ac:dyDescent="0.3">
      <c r="A109" s="4"/>
      <c r="B109" s="4"/>
      <c r="C109" s="4"/>
      <c r="D109" s="4"/>
      <c r="E109" s="4"/>
    </row>
    <row r="110" spans="1:5" ht="15.75" customHeight="1" x14ac:dyDescent="0.3">
      <c r="A110" s="4"/>
      <c r="B110" s="4"/>
      <c r="C110" s="4"/>
      <c r="D110" s="4"/>
      <c r="E110" s="4"/>
    </row>
    <row r="111" spans="1:5" ht="15.75" customHeight="1" x14ac:dyDescent="0.3">
      <c r="A111" s="4"/>
      <c r="B111" s="4"/>
      <c r="C111" s="4"/>
      <c r="D111" s="4"/>
      <c r="E111" s="4"/>
    </row>
    <row r="112" spans="1:5" ht="15.75" customHeight="1" x14ac:dyDescent="0.3">
      <c r="A112" s="4"/>
      <c r="B112" s="4"/>
      <c r="C112" s="4"/>
      <c r="D112" s="4"/>
      <c r="E112" s="4"/>
    </row>
    <row r="113" spans="1:5" ht="15.75" customHeight="1" x14ac:dyDescent="0.3">
      <c r="A113" s="4"/>
      <c r="B113" s="4"/>
      <c r="C113" s="4"/>
      <c r="D113" s="4"/>
      <c r="E113" s="4"/>
    </row>
    <row r="114" spans="1:5" ht="15.75" customHeight="1" x14ac:dyDescent="0.3">
      <c r="A114" s="4"/>
      <c r="B114" s="4"/>
      <c r="C114" s="4"/>
      <c r="D114" s="4"/>
      <c r="E114" s="4"/>
    </row>
    <row r="115" spans="1:5" ht="15.75" customHeight="1" x14ac:dyDescent="0.3">
      <c r="A115" s="4"/>
      <c r="B115" s="4"/>
      <c r="C115" s="4"/>
      <c r="D115" s="4"/>
      <c r="E115" s="4"/>
    </row>
    <row r="116" spans="1:5" ht="15.75" customHeight="1" x14ac:dyDescent="0.3">
      <c r="A116" s="4"/>
      <c r="B116" s="4"/>
      <c r="C116" s="4"/>
      <c r="D116" s="4"/>
      <c r="E116" s="4"/>
    </row>
    <row r="117" spans="1:5" ht="15.75" customHeight="1" x14ac:dyDescent="0.3">
      <c r="A117" s="4"/>
      <c r="B117" s="4"/>
      <c r="C117" s="4"/>
      <c r="D117" s="4"/>
      <c r="E117" s="4"/>
    </row>
    <row r="118" spans="1:5" ht="15.75" customHeight="1" x14ac:dyDescent="0.3">
      <c r="A118" s="4"/>
      <c r="B118" s="4"/>
      <c r="C118" s="4"/>
      <c r="D118" s="4"/>
      <c r="E118" s="4"/>
    </row>
    <row r="119" spans="1:5" ht="15.75" customHeight="1" x14ac:dyDescent="0.3">
      <c r="A119" s="4"/>
      <c r="B119" s="4"/>
      <c r="C119" s="4"/>
      <c r="D119" s="4"/>
      <c r="E119" s="4"/>
    </row>
    <row r="120" spans="1:5" ht="15.75" customHeight="1" x14ac:dyDescent="0.3">
      <c r="A120" s="4"/>
      <c r="B120" s="4"/>
      <c r="C120" s="4"/>
      <c r="D120" s="4"/>
      <c r="E120" s="4"/>
    </row>
    <row r="121" spans="1:5" ht="15.75" customHeight="1" x14ac:dyDescent="0.3">
      <c r="A121" s="4"/>
      <c r="B121" s="4"/>
      <c r="C121" s="4"/>
      <c r="D121" s="4"/>
      <c r="E121" s="4"/>
    </row>
    <row r="122" spans="1:5" ht="15.75" customHeight="1" x14ac:dyDescent="0.3">
      <c r="A122" s="4"/>
      <c r="B122" s="4"/>
      <c r="C122" s="4"/>
      <c r="D122" s="4"/>
      <c r="E122" s="4"/>
    </row>
    <row r="123" spans="1:5" ht="15.75" customHeight="1" x14ac:dyDescent="0.3">
      <c r="A123" s="4"/>
      <c r="B123" s="4"/>
      <c r="C123" s="4"/>
      <c r="D123" s="4"/>
      <c r="E123" s="4"/>
    </row>
    <row r="124" spans="1:5" ht="15.75" customHeight="1" x14ac:dyDescent="0.3">
      <c r="A124" s="4"/>
      <c r="B124" s="4"/>
      <c r="C124" s="4"/>
      <c r="D124" s="4"/>
      <c r="E124" s="4"/>
    </row>
    <row r="125" spans="1:5" ht="15.75" customHeight="1" x14ac:dyDescent="0.3">
      <c r="A125" s="4"/>
      <c r="B125" s="4"/>
      <c r="C125" s="4"/>
      <c r="D125" s="4"/>
      <c r="E125" s="4"/>
    </row>
    <row r="126" spans="1:5" ht="15.75" customHeight="1" x14ac:dyDescent="0.3">
      <c r="A126" s="4"/>
      <c r="B126" s="4"/>
      <c r="C126" s="4"/>
      <c r="D126" s="4"/>
      <c r="E126" s="4"/>
    </row>
    <row r="127" spans="1:5" ht="15.75" customHeight="1" x14ac:dyDescent="0.3">
      <c r="A127" s="4"/>
      <c r="B127" s="4"/>
      <c r="C127" s="4"/>
      <c r="D127" s="4"/>
      <c r="E127" s="4"/>
    </row>
    <row r="128" spans="1:5" ht="15.75" customHeight="1" x14ac:dyDescent="0.3">
      <c r="A128" s="4"/>
      <c r="B128" s="4"/>
      <c r="C128" s="4"/>
      <c r="D128" s="4"/>
      <c r="E128" s="4"/>
    </row>
    <row r="129" spans="1:5" ht="15.75" customHeight="1" x14ac:dyDescent="0.3">
      <c r="A129" s="4"/>
      <c r="B129" s="4"/>
      <c r="C129" s="4"/>
      <c r="D129" s="4"/>
      <c r="E129" s="4"/>
    </row>
    <row r="130" spans="1:5" ht="15.75" customHeight="1" x14ac:dyDescent="0.3">
      <c r="A130" s="4"/>
      <c r="B130" s="4"/>
      <c r="C130" s="4"/>
      <c r="D130" s="4"/>
      <c r="E130" s="4"/>
    </row>
    <row r="131" spans="1:5" ht="15.75" customHeight="1" x14ac:dyDescent="0.3">
      <c r="A131" s="4"/>
      <c r="B131" s="4"/>
      <c r="C131" s="4"/>
      <c r="D131" s="4"/>
      <c r="E131" s="4"/>
    </row>
    <row r="132" spans="1:5" ht="15.75" customHeight="1" x14ac:dyDescent="0.3">
      <c r="A132" s="4"/>
      <c r="B132" s="4"/>
      <c r="C132" s="4"/>
      <c r="D132" s="4"/>
      <c r="E132" s="4"/>
    </row>
    <row r="133" spans="1:5" ht="15.75" customHeight="1" x14ac:dyDescent="0.3">
      <c r="A133" s="4"/>
      <c r="B133" s="4"/>
      <c r="C133" s="4"/>
      <c r="D133" s="4"/>
      <c r="E133" s="4"/>
    </row>
    <row r="134" spans="1:5" ht="15.75" customHeight="1" x14ac:dyDescent="0.3">
      <c r="A134" s="4"/>
      <c r="B134" s="4"/>
      <c r="C134" s="4"/>
      <c r="D134" s="4"/>
      <c r="E134" s="4"/>
    </row>
    <row r="135" spans="1:5" ht="15.75" customHeight="1" x14ac:dyDescent="0.3">
      <c r="A135" s="4"/>
      <c r="B135" s="4"/>
      <c r="C135" s="4"/>
      <c r="D135" s="4"/>
      <c r="E135" s="4"/>
    </row>
    <row r="136" spans="1:5" ht="15.75" customHeight="1" x14ac:dyDescent="0.3">
      <c r="A136" s="4"/>
      <c r="B136" s="4"/>
      <c r="C136" s="4"/>
      <c r="D136" s="4"/>
      <c r="E136" s="4"/>
    </row>
    <row r="137" spans="1:5" ht="15.75" customHeight="1" x14ac:dyDescent="0.3">
      <c r="A137" s="4"/>
      <c r="B137" s="4"/>
      <c r="C137" s="4"/>
      <c r="D137" s="4"/>
      <c r="E137" s="4"/>
    </row>
    <row r="138" spans="1:5" ht="15.75" customHeight="1" x14ac:dyDescent="0.3">
      <c r="A138" s="4"/>
      <c r="B138" s="4"/>
      <c r="C138" s="4"/>
      <c r="D138" s="4"/>
      <c r="E138" s="4"/>
    </row>
    <row r="139" spans="1:5" ht="15.75" customHeight="1" x14ac:dyDescent="0.3">
      <c r="A139" s="4"/>
      <c r="B139" s="4"/>
      <c r="C139" s="4"/>
      <c r="D139" s="4"/>
      <c r="E139" s="4"/>
    </row>
    <row r="140" spans="1:5" ht="15.75" customHeight="1" x14ac:dyDescent="0.3">
      <c r="A140" s="4"/>
      <c r="B140" s="4"/>
      <c r="C140" s="4"/>
      <c r="D140" s="4"/>
      <c r="E140" s="4"/>
    </row>
    <row r="141" spans="1:5" ht="15.75" customHeight="1" x14ac:dyDescent="0.3">
      <c r="A141" s="4"/>
      <c r="B141" s="4"/>
      <c r="C141" s="4"/>
      <c r="D141" s="4"/>
      <c r="E141" s="4"/>
    </row>
    <row r="142" spans="1:5" ht="15.75" customHeight="1" x14ac:dyDescent="0.3">
      <c r="A142" s="4"/>
      <c r="B142" s="4"/>
      <c r="C142" s="4"/>
      <c r="D142" s="4"/>
      <c r="E142" s="4"/>
    </row>
    <row r="143" spans="1:5" ht="15.75" customHeight="1" x14ac:dyDescent="0.3">
      <c r="A143" s="4"/>
      <c r="B143" s="4"/>
      <c r="C143" s="4"/>
      <c r="D143" s="4"/>
      <c r="E143" s="4"/>
    </row>
    <row r="144" spans="1:5" ht="15.75" customHeight="1" x14ac:dyDescent="0.3">
      <c r="A144" s="4"/>
      <c r="B144" s="4"/>
      <c r="C144" s="4"/>
      <c r="D144" s="4"/>
      <c r="E144" s="4"/>
    </row>
    <row r="145" spans="1:5" ht="15.75" customHeight="1" x14ac:dyDescent="0.3">
      <c r="A145" s="4"/>
      <c r="B145" s="4"/>
      <c r="C145" s="4"/>
      <c r="D145" s="4"/>
      <c r="E145" s="4"/>
    </row>
    <row r="146" spans="1:5" ht="15.75" customHeight="1" x14ac:dyDescent="0.3">
      <c r="A146" s="4"/>
      <c r="B146" s="4"/>
      <c r="C146" s="4"/>
      <c r="D146" s="4"/>
      <c r="E146" s="4"/>
    </row>
    <row r="147" spans="1:5" ht="15.75" customHeight="1" x14ac:dyDescent="0.3">
      <c r="A147" s="4"/>
      <c r="B147" s="4"/>
      <c r="C147" s="4"/>
      <c r="D147" s="4"/>
      <c r="E147" s="4"/>
    </row>
    <row r="148" spans="1:5" ht="15.75" customHeight="1" x14ac:dyDescent="0.3">
      <c r="A148" s="4"/>
      <c r="B148" s="4"/>
      <c r="C148" s="4"/>
      <c r="D148" s="4"/>
      <c r="E148" s="4"/>
    </row>
    <row r="149" spans="1:5" ht="15.75" customHeight="1" x14ac:dyDescent="0.3">
      <c r="A149" s="4"/>
      <c r="B149" s="4"/>
      <c r="C149" s="4"/>
      <c r="D149" s="4"/>
      <c r="E149" s="4"/>
    </row>
    <row r="150" spans="1:5" ht="15.75" customHeight="1" x14ac:dyDescent="0.3">
      <c r="A150" s="4"/>
      <c r="B150" s="4"/>
      <c r="C150" s="4"/>
      <c r="D150" s="4"/>
      <c r="E150" s="4"/>
    </row>
    <row r="151" spans="1:5" ht="15.75" customHeight="1" x14ac:dyDescent="0.3">
      <c r="A151" s="4"/>
      <c r="B151" s="4"/>
      <c r="C151" s="4"/>
      <c r="D151" s="4"/>
      <c r="E151" s="4"/>
    </row>
    <row r="152" spans="1:5" ht="15.75" customHeight="1" x14ac:dyDescent="0.3">
      <c r="A152" s="4"/>
      <c r="B152" s="4"/>
      <c r="C152" s="4"/>
      <c r="D152" s="4"/>
      <c r="E152" s="4"/>
    </row>
    <row r="153" spans="1:5" ht="15.75" customHeight="1" x14ac:dyDescent="0.3">
      <c r="A153" s="4"/>
      <c r="B153" s="4"/>
      <c r="C153" s="4"/>
      <c r="D153" s="4"/>
      <c r="E153" s="4"/>
    </row>
    <row r="154" spans="1:5" ht="15.75" customHeight="1" x14ac:dyDescent="0.3">
      <c r="A154" s="4"/>
      <c r="B154" s="4"/>
      <c r="C154" s="4"/>
      <c r="D154" s="4"/>
      <c r="E154" s="4"/>
    </row>
    <row r="155" spans="1:5" ht="15.75" customHeight="1" x14ac:dyDescent="0.3">
      <c r="A155" s="4"/>
      <c r="B155" s="4"/>
      <c r="C155" s="4"/>
      <c r="D155" s="4"/>
      <c r="E155" s="4"/>
    </row>
    <row r="156" spans="1:5" ht="15.75" customHeight="1" x14ac:dyDescent="0.3">
      <c r="A156" s="4"/>
      <c r="B156" s="4"/>
      <c r="C156" s="4"/>
      <c r="D156" s="4"/>
      <c r="E156" s="4"/>
    </row>
    <row r="157" spans="1:5" ht="15.75" customHeight="1" x14ac:dyDescent="0.3">
      <c r="A157" s="4"/>
      <c r="B157" s="4"/>
      <c r="C157" s="4"/>
      <c r="D157" s="4"/>
      <c r="E157" s="4"/>
    </row>
    <row r="158" spans="1:5" ht="15.75" customHeight="1" x14ac:dyDescent="0.3">
      <c r="A158" s="4"/>
      <c r="B158" s="4"/>
      <c r="C158" s="4"/>
      <c r="D158" s="4"/>
      <c r="E158" s="4"/>
    </row>
    <row r="159" spans="1:5" ht="15.75" customHeight="1" x14ac:dyDescent="0.3">
      <c r="A159" s="4"/>
      <c r="B159" s="4"/>
      <c r="C159" s="4"/>
      <c r="D159" s="4"/>
      <c r="E159" s="4"/>
    </row>
    <row r="160" spans="1:5" ht="15.75" customHeight="1" x14ac:dyDescent="0.3">
      <c r="A160" s="4"/>
      <c r="B160" s="4"/>
      <c r="C160" s="4"/>
      <c r="D160" s="4"/>
      <c r="E160" s="4"/>
    </row>
    <row r="161" spans="1:5" ht="15.75" customHeight="1" x14ac:dyDescent="0.3">
      <c r="A161" s="4"/>
      <c r="B161" s="4"/>
      <c r="C161" s="4"/>
      <c r="D161" s="4"/>
      <c r="E161" s="4"/>
    </row>
    <row r="162" spans="1:5" ht="15.75" customHeight="1" x14ac:dyDescent="0.3">
      <c r="A162" s="4"/>
      <c r="B162" s="4"/>
      <c r="C162" s="4"/>
      <c r="D162" s="4"/>
      <c r="E162" s="4"/>
    </row>
    <row r="163" spans="1:5" ht="15.75" customHeight="1" x14ac:dyDescent="0.3">
      <c r="A163" s="4"/>
      <c r="B163" s="4"/>
      <c r="C163" s="4"/>
      <c r="D163" s="4"/>
      <c r="E163" s="4"/>
    </row>
    <row r="164" spans="1:5" ht="15.75" customHeight="1" x14ac:dyDescent="0.3">
      <c r="A164" s="4"/>
      <c r="B164" s="4"/>
      <c r="C164" s="4"/>
      <c r="D164" s="4"/>
      <c r="E164" s="4"/>
    </row>
    <row r="165" spans="1:5" ht="15.75" customHeight="1" x14ac:dyDescent="0.3">
      <c r="A165" s="4"/>
      <c r="B165" s="4"/>
      <c r="C165" s="4"/>
      <c r="D165" s="4"/>
      <c r="E165" s="4"/>
    </row>
    <row r="166" spans="1:5" ht="15.75" customHeight="1" x14ac:dyDescent="0.3">
      <c r="A166" s="4"/>
      <c r="B166" s="4"/>
      <c r="C166" s="4"/>
      <c r="D166" s="4"/>
      <c r="E166" s="4"/>
    </row>
    <row r="167" spans="1:5" ht="15.75" customHeight="1" x14ac:dyDescent="0.3">
      <c r="A167" s="4"/>
      <c r="B167" s="4"/>
      <c r="C167" s="4"/>
      <c r="D167" s="4"/>
      <c r="E167" s="4"/>
    </row>
    <row r="168" spans="1:5" ht="15.75" customHeight="1" x14ac:dyDescent="0.3">
      <c r="A168" s="4"/>
      <c r="B168" s="4"/>
      <c r="C168" s="4"/>
      <c r="D168" s="4"/>
      <c r="E168" s="4"/>
    </row>
    <row r="169" spans="1:5" ht="15.75" customHeight="1" x14ac:dyDescent="0.3">
      <c r="A169" s="4"/>
      <c r="B169" s="4"/>
      <c r="C169" s="4"/>
      <c r="D169" s="4"/>
      <c r="E169" s="4"/>
    </row>
    <row r="170" spans="1:5" ht="15.75" customHeight="1" x14ac:dyDescent="0.3">
      <c r="A170" s="4"/>
      <c r="B170" s="4"/>
      <c r="C170" s="4"/>
      <c r="D170" s="4"/>
      <c r="E170" s="4"/>
    </row>
    <row r="171" spans="1:5" ht="15.75" customHeight="1" x14ac:dyDescent="0.3">
      <c r="A171" s="4"/>
      <c r="B171" s="4"/>
      <c r="C171" s="4"/>
      <c r="D171" s="4"/>
      <c r="E171" s="4"/>
    </row>
    <row r="172" spans="1:5" ht="15.75" customHeight="1" x14ac:dyDescent="0.3">
      <c r="A172" s="4"/>
      <c r="B172" s="4"/>
      <c r="C172" s="4"/>
      <c r="D172" s="4"/>
      <c r="E172" s="4"/>
    </row>
    <row r="173" spans="1:5" ht="15.75" customHeight="1" x14ac:dyDescent="0.3">
      <c r="A173" s="4"/>
      <c r="B173" s="4"/>
      <c r="C173" s="4"/>
      <c r="D173" s="4"/>
      <c r="E173" s="4"/>
    </row>
    <row r="174" spans="1:5" ht="15.75" customHeight="1" x14ac:dyDescent="0.3">
      <c r="A174" s="4"/>
      <c r="B174" s="4"/>
      <c r="C174" s="4"/>
      <c r="D174" s="4"/>
      <c r="E174" s="4"/>
    </row>
    <row r="175" spans="1:5" ht="15.75" customHeight="1" x14ac:dyDescent="0.3">
      <c r="A175" s="4"/>
      <c r="B175" s="4"/>
      <c r="C175" s="4"/>
      <c r="D175" s="4"/>
      <c r="E175" s="4"/>
    </row>
    <row r="176" spans="1:5" ht="15.75" customHeight="1" x14ac:dyDescent="0.3">
      <c r="A176" s="4"/>
      <c r="B176" s="4"/>
      <c r="C176" s="4"/>
      <c r="D176" s="4"/>
      <c r="E176" s="4"/>
    </row>
    <row r="177" spans="1:5" ht="15.75" customHeight="1" x14ac:dyDescent="0.3">
      <c r="A177" s="4"/>
      <c r="B177" s="4"/>
      <c r="C177" s="4"/>
      <c r="D177" s="4"/>
      <c r="E177" s="4"/>
    </row>
    <row r="178" spans="1:5" ht="15.75" customHeight="1" x14ac:dyDescent="0.3">
      <c r="A178" s="4"/>
      <c r="B178" s="4"/>
      <c r="C178" s="4"/>
      <c r="D178" s="4"/>
      <c r="E178" s="4"/>
    </row>
    <row r="179" spans="1:5" ht="15.75" customHeight="1" x14ac:dyDescent="0.3">
      <c r="A179" s="4"/>
      <c r="B179" s="4"/>
      <c r="C179" s="4"/>
      <c r="D179" s="4"/>
      <c r="E179" s="4"/>
    </row>
    <row r="180" spans="1:5" ht="15.75" customHeight="1" x14ac:dyDescent="0.3">
      <c r="A180" s="4"/>
      <c r="B180" s="4"/>
      <c r="C180" s="4"/>
      <c r="D180" s="4"/>
      <c r="E180" s="4"/>
    </row>
    <row r="181" spans="1:5" ht="15.75" customHeight="1" x14ac:dyDescent="0.3">
      <c r="A181" s="4"/>
      <c r="B181" s="4"/>
      <c r="C181" s="4"/>
      <c r="D181" s="4"/>
      <c r="E181" s="4"/>
    </row>
    <row r="182" spans="1:5" ht="15.75" customHeight="1" x14ac:dyDescent="0.3">
      <c r="A182" s="4"/>
      <c r="B182" s="4"/>
      <c r="C182" s="4"/>
      <c r="D182" s="4"/>
      <c r="E182" s="4"/>
    </row>
    <row r="183" spans="1:5" ht="15.75" customHeight="1" x14ac:dyDescent="0.3">
      <c r="A183" s="4"/>
      <c r="B183" s="4"/>
      <c r="C183" s="4"/>
      <c r="D183" s="4"/>
      <c r="E183" s="4"/>
    </row>
    <row r="184" spans="1:5" ht="15.75" customHeight="1" x14ac:dyDescent="0.3">
      <c r="A184" s="4"/>
      <c r="B184" s="4"/>
      <c r="C184" s="4"/>
      <c r="D184" s="4"/>
      <c r="E184" s="4"/>
    </row>
    <row r="185" spans="1:5" ht="15.75" customHeight="1" x14ac:dyDescent="0.3">
      <c r="A185" s="4"/>
      <c r="B185" s="4"/>
      <c r="C185" s="4"/>
      <c r="D185" s="4"/>
      <c r="E185" s="4"/>
    </row>
    <row r="186" spans="1:5" ht="15.75" customHeight="1" x14ac:dyDescent="0.3">
      <c r="A186" s="4"/>
      <c r="B186" s="4"/>
      <c r="C186" s="4"/>
      <c r="D186" s="4"/>
      <c r="E186" s="4"/>
    </row>
    <row r="187" spans="1:5" ht="15.75" customHeight="1" x14ac:dyDescent="0.3">
      <c r="A187" s="4"/>
      <c r="B187" s="4"/>
      <c r="C187" s="4"/>
      <c r="D187" s="4"/>
      <c r="E187" s="4"/>
    </row>
    <row r="188" spans="1:5" ht="15.75" customHeight="1" x14ac:dyDescent="0.3">
      <c r="A188" s="4"/>
      <c r="B188" s="4"/>
      <c r="C188" s="4"/>
      <c r="D188" s="4"/>
      <c r="E188" s="4"/>
    </row>
    <row r="189" spans="1:5" ht="15.75" customHeight="1" x14ac:dyDescent="0.3">
      <c r="A189" s="4"/>
      <c r="B189" s="4"/>
      <c r="C189" s="4"/>
      <c r="D189" s="4"/>
      <c r="E189" s="4"/>
    </row>
    <row r="190" spans="1:5" ht="15.75" customHeight="1" x14ac:dyDescent="0.3">
      <c r="A190" s="4"/>
      <c r="B190" s="4"/>
      <c r="C190" s="4"/>
      <c r="D190" s="4"/>
      <c r="E190" s="4"/>
    </row>
    <row r="191" spans="1:5" ht="15.75" customHeight="1" x14ac:dyDescent="0.3">
      <c r="A191" s="4"/>
      <c r="B191" s="4"/>
      <c r="C191" s="4"/>
      <c r="D191" s="4"/>
      <c r="E191" s="4"/>
    </row>
    <row r="192" spans="1:5" ht="15.75" customHeight="1" x14ac:dyDescent="0.3">
      <c r="A192" s="4"/>
      <c r="B192" s="4"/>
      <c r="C192" s="4"/>
      <c r="D192" s="4"/>
      <c r="E192" s="4"/>
    </row>
    <row r="193" spans="1:5" ht="15.75" customHeight="1" x14ac:dyDescent="0.3">
      <c r="A193" s="4"/>
      <c r="B193" s="4"/>
      <c r="C193" s="4"/>
      <c r="D193" s="4"/>
      <c r="E193" s="4"/>
    </row>
    <row r="194" spans="1:5" ht="15.75" customHeight="1" x14ac:dyDescent="0.3">
      <c r="A194" s="4"/>
      <c r="B194" s="4"/>
      <c r="C194" s="4"/>
      <c r="D194" s="4"/>
      <c r="E194" s="4"/>
    </row>
    <row r="195" spans="1:5" ht="15.75" customHeight="1" x14ac:dyDescent="0.3">
      <c r="A195" s="4"/>
      <c r="B195" s="4"/>
      <c r="C195" s="4"/>
      <c r="D195" s="4"/>
      <c r="E195" s="4"/>
    </row>
    <row r="196" spans="1:5" ht="15.75" customHeight="1" x14ac:dyDescent="0.3">
      <c r="A196" s="4"/>
      <c r="B196" s="4"/>
      <c r="C196" s="4"/>
      <c r="D196" s="4"/>
      <c r="E196" s="4"/>
    </row>
    <row r="197" spans="1:5" ht="15.75" customHeight="1" x14ac:dyDescent="0.3">
      <c r="A197" s="4"/>
      <c r="B197" s="4"/>
      <c r="C197" s="4"/>
      <c r="D197" s="4"/>
      <c r="E197" s="4"/>
    </row>
    <row r="198" spans="1:5" ht="15.75" customHeight="1" x14ac:dyDescent="0.3">
      <c r="A198" s="4"/>
      <c r="B198" s="4"/>
      <c r="C198" s="4"/>
      <c r="D198" s="4"/>
      <c r="E198" s="4"/>
    </row>
    <row r="199" spans="1:5" ht="15.75" customHeight="1" x14ac:dyDescent="0.3">
      <c r="A199" s="4"/>
      <c r="B199" s="4"/>
      <c r="C199" s="4"/>
      <c r="D199" s="4"/>
      <c r="E199" s="4"/>
    </row>
    <row r="200" spans="1:5" ht="15.75" customHeight="1" x14ac:dyDescent="0.3">
      <c r="A200" s="4"/>
      <c r="B200" s="4"/>
      <c r="C200" s="4"/>
      <c r="D200" s="4"/>
      <c r="E200" s="4"/>
    </row>
    <row r="201" spans="1:5" ht="15.75" customHeight="1" x14ac:dyDescent="0.3">
      <c r="A201" s="4"/>
      <c r="B201" s="4"/>
      <c r="C201" s="4"/>
      <c r="D201" s="4"/>
      <c r="E201" s="4"/>
    </row>
    <row r="202" spans="1:5" ht="15.75" customHeight="1" x14ac:dyDescent="0.3">
      <c r="A202" s="4"/>
      <c r="B202" s="4"/>
      <c r="C202" s="4"/>
      <c r="D202" s="4"/>
      <c r="E202" s="4"/>
    </row>
    <row r="203" spans="1:5" ht="15.75" customHeight="1" x14ac:dyDescent="0.3">
      <c r="A203" s="4"/>
      <c r="B203" s="4"/>
      <c r="C203" s="4"/>
      <c r="D203" s="4"/>
      <c r="E203" s="4"/>
    </row>
    <row r="204" spans="1:5" ht="15.75" customHeight="1" x14ac:dyDescent="0.3">
      <c r="A204" s="4"/>
      <c r="B204" s="4"/>
      <c r="C204" s="4"/>
      <c r="D204" s="4"/>
      <c r="E204" s="4"/>
    </row>
    <row r="205" spans="1:5" ht="15.75" customHeight="1" x14ac:dyDescent="0.3">
      <c r="A205" s="4"/>
      <c r="B205" s="4"/>
      <c r="C205" s="4"/>
      <c r="D205" s="4"/>
      <c r="E205" s="4"/>
    </row>
    <row r="206" spans="1:5" ht="15.75" customHeight="1" x14ac:dyDescent="0.3">
      <c r="A206" s="4"/>
      <c r="B206" s="4"/>
      <c r="C206" s="4"/>
      <c r="D206" s="4"/>
      <c r="E206" s="4"/>
    </row>
    <row r="207" spans="1:5" ht="15.75" customHeight="1" x14ac:dyDescent="0.3">
      <c r="A207" s="4"/>
      <c r="B207" s="4"/>
      <c r="C207" s="4"/>
      <c r="D207" s="4"/>
      <c r="E207" s="4"/>
    </row>
    <row r="208" spans="1:5" ht="15.75" customHeight="1" x14ac:dyDescent="0.3">
      <c r="A208" s="4"/>
      <c r="B208" s="4"/>
      <c r="C208" s="4"/>
      <c r="D208" s="4"/>
      <c r="E208" s="4"/>
    </row>
    <row r="209" spans="1:5" ht="15.75" customHeight="1" x14ac:dyDescent="0.3">
      <c r="A209" s="4"/>
      <c r="B209" s="4"/>
      <c r="C209" s="4"/>
      <c r="D209" s="4"/>
      <c r="E209" s="4"/>
    </row>
    <row r="210" spans="1:5" ht="15.75" customHeight="1" x14ac:dyDescent="0.3">
      <c r="A210" s="4"/>
      <c r="B210" s="4"/>
      <c r="C210" s="4"/>
      <c r="D210" s="4"/>
      <c r="E210" s="4"/>
    </row>
    <row r="211" spans="1:5" ht="15.75" customHeight="1" x14ac:dyDescent="0.3">
      <c r="A211" s="4"/>
      <c r="B211" s="4"/>
      <c r="C211" s="4"/>
      <c r="D211" s="4"/>
      <c r="E211" s="4"/>
    </row>
    <row r="212" spans="1:5" ht="15.75" customHeight="1" x14ac:dyDescent="0.3">
      <c r="A212" s="4"/>
      <c r="B212" s="4"/>
      <c r="C212" s="4"/>
      <c r="D212" s="4"/>
      <c r="E212" s="4"/>
    </row>
    <row r="213" spans="1:5" ht="15.75" customHeight="1" x14ac:dyDescent="0.3">
      <c r="A213" s="4"/>
      <c r="B213" s="4"/>
      <c r="C213" s="4"/>
      <c r="D213" s="4"/>
      <c r="E213" s="4"/>
    </row>
    <row r="214" spans="1:5" ht="15.75" customHeight="1" x14ac:dyDescent="0.3">
      <c r="A214" s="4"/>
      <c r="B214" s="4"/>
      <c r="C214" s="4"/>
      <c r="D214" s="4"/>
      <c r="E214" s="4"/>
    </row>
    <row r="215" spans="1:5" ht="15.75" customHeight="1" x14ac:dyDescent="0.3">
      <c r="A215" s="4"/>
      <c r="B215" s="4"/>
      <c r="C215" s="4"/>
      <c r="D215" s="4"/>
      <c r="E215" s="4"/>
    </row>
    <row r="216" spans="1:5" ht="15.75" customHeight="1" x14ac:dyDescent="0.3">
      <c r="A216" s="4"/>
      <c r="B216" s="4"/>
      <c r="C216" s="4"/>
      <c r="D216" s="4"/>
      <c r="E216" s="4"/>
    </row>
    <row r="217" spans="1:5" ht="15.75" customHeight="1" x14ac:dyDescent="0.3">
      <c r="A217" s="4"/>
      <c r="B217" s="4"/>
      <c r="C217" s="4"/>
      <c r="D217" s="4"/>
      <c r="E217" s="4"/>
    </row>
    <row r="218" spans="1:5" ht="15.75" customHeight="1" x14ac:dyDescent="0.3">
      <c r="A218" s="4"/>
      <c r="B218" s="4"/>
      <c r="C218" s="4"/>
      <c r="D218" s="4"/>
      <c r="E218" s="4"/>
    </row>
    <row r="219" spans="1:5" ht="15.75" customHeight="1" x14ac:dyDescent="0.3">
      <c r="A219" s="4"/>
      <c r="B219" s="4"/>
      <c r="C219" s="4"/>
      <c r="D219" s="4"/>
      <c r="E219" s="4"/>
    </row>
    <row r="220" spans="1:5" ht="15.75" customHeight="1" x14ac:dyDescent="0.3">
      <c r="A220" s="4"/>
      <c r="B220" s="4"/>
      <c r="C220" s="4"/>
      <c r="D220" s="4"/>
      <c r="E220" s="4"/>
    </row>
    <row r="221" spans="1:5" ht="15.75" customHeight="1" x14ac:dyDescent="0.3">
      <c r="A221" s="4"/>
      <c r="B221" s="4"/>
      <c r="C221" s="4"/>
      <c r="D221" s="4"/>
      <c r="E221" s="4"/>
    </row>
    <row r="222" spans="1:5" ht="15.75" customHeight="1" x14ac:dyDescent="0.3">
      <c r="A222" s="4"/>
      <c r="B222" s="4"/>
      <c r="C222" s="4"/>
      <c r="D222" s="4"/>
      <c r="E222" s="4"/>
    </row>
    <row r="223" spans="1:5" ht="15.75" customHeight="1" x14ac:dyDescent="0.3">
      <c r="A223" s="4"/>
      <c r="B223" s="4"/>
      <c r="C223" s="4"/>
      <c r="D223" s="4"/>
      <c r="E223" s="4"/>
    </row>
    <row r="224" spans="1:5" ht="15.75" customHeight="1" x14ac:dyDescent="0.3">
      <c r="A224" s="4"/>
      <c r="B224" s="4"/>
      <c r="C224" s="4"/>
      <c r="D224" s="4"/>
      <c r="E224" s="4"/>
    </row>
    <row r="225" spans="1:5" ht="15.75" customHeight="1" x14ac:dyDescent="0.3">
      <c r="A225" s="4"/>
      <c r="B225" s="4"/>
      <c r="C225" s="4"/>
      <c r="D225" s="4"/>
      <c r="E225" s="4"/>
    </row>
    <row r="226" spans="1:5" ht="15.75" customHeight="1" x14ac:dyDescent="0.3">
      <c r="A226" s="4"/>
      <c r="B226" s="4"/>
      <c r="C226" s="4"/>
      <c r="D226" s="4"/>
      <c r="E226" s="4"/>
    </row>
    <row r="227" spans="1:5" ht="15.75" customHeight="1" x14ac:dyDescent="0.3">
      <c r="A227" s="4"/>
      <c r="B227" s="4"/>
      <c r="C227" s="4"/>
      <c r="D227" s="4"/>
      <c r="E227" s="4"/>
    </row>
    <row r="228" spans="1:5" ht="15.75" customHeight="1" x14ac:dyDescent="0.3">
      <c r="A228" s="4"/>
      <c r="B228" s="4"/>
      <c r="C228" s="4"/>
      <c r="D228" s="4"/>
      <c r="E228" s="4"/>
    </row>
    <row r="229" spans="1:5" ht="15.75" customHeight="1" x14ac:dyDescent="0.3">
      <c r="A229" s="4"/>
      <c r="B229" s="4"/>
      <c r="C229" s="4"/>
      <c r="D229" s="4"/>
      <c r="E229" s="4"/>
    </row>
    <row r="230" spans="1:5" ht="15.75" customHeight="1" x14ac:dyDescent="0.3">
      <c r="A230" s="4"/>
      <c r="B230" s="4"/>
      <c r="C230" s="4"/>
      <c r="D230" s="4"/>
      <c r="E230" s="4"/>
    </row>
    <row r="231" spans="1:5" ht="15.75" customHeight="1" x14ac:dyDescent="0.3">
      <c r="A231" s="4"/>
      <c r="B231" s="4"/>
      <c r="C231" s="4"/>
      <c r="D231" s="4"/>
      <c r="E231" s="4"/>
    </row>
    <row r="232" spans="1:5" ht="15.75" customHeight="1" x14ac:dyDescent="0.3">
      <c r="A232" s="4"/>
      <c r="B232" s="4"/>
      <c r="C232" s="4"/>
      <c r="D232" s="4"/>
      <c r="E232" s="4"/>
    </row>
    <row r="233" spans="1:5" ht="15.75" customHeight="1" x14ac:dyDescent="0.3">
      <c r="A233" s="4"/>
      <c r="B233" s="4"/>
      <c r="C233" s="4"/>
      <c r="D233" s="4"/>
      <c r="E233" s="4"/>
    </row>
    <row r="234" spans="1:5" ht="15.75" customHeight="1" x14ac:dyDescent="0.3">
      <c r="A234" s="4"/>
      <c r="B234" s="4"/>
      <c r="C234" s="4"/>
      <c r="D234" s="4"/>
      <c r="E234" s="4"/>
    </row>
    <row r="235" spans="1:5" ht="15.75" customHeight="1" x14ac:dyDescent="0.3">
      <c r="A235" s="4"/>
      <c r="B235" s="4"/>
      <c r="C235" s="4"/>
      <c r="D235" s="4"/>
      <c r="E235" s="4"/>
    </row>
    <row r="236" spans="1:5" ht="15.75" customHeight="1" x14ac:dyDescent="0.3">
      <c r="A236" s="4"/>
      <c r="B236" s="4"/>
      <c r="C236" s="4"/>
      <c r="D236" s="4"/>
      <c r="E236" s="4"/>
    </row>
    <row r="237" spans="1:5" ht="15.75" customHeight="1" x14ac:dyDescent="0.3">
      <c r="A237" s="4"/>
      <c r="B237" s="4"/>
      <c r="C237" s="4"/>
      <c r="D237" s="4"/>
      <c r="E237" s="4"/>
    </row>
    <row r="238" spans="1:5" ht="15.75" customHeight="1" x14ac:dyDescent="0.3">
      <c r="A238" s="4"/>
      <c r="B238" s="4"/>
      <c r="C238" s="4"/>
      <c r="D238" s="4"/>
      <c r="E238" s="4"/>
    </row>
    <row r="239" spans="1:5" ht="15.75" customHeight="1" x14ac:dyDescent="0.3">
      <c r="A239" s="4"/>
      <c r="B239" s="4"/>
      <c r="C239" s="4"/>
      <c r="D239" s="4"/>
      <c r="E239" s="4"/>
    </row>
    <row r="240" spans="1:5" ht="15.75" customHeight="1" x14ac:dyDescent="0.3">
      <c r="A240" s="4"/>
      <c r="B240" s="4"/>
      <c r="C240" s="4"/>
      <c r="D240" s="4"/>
      <c r="E240" s="4"/>
    </row>
    <row r="241" spans="1:5" ht="15.75" customHeight="1" x14ac:dyDescent="0.3">
      <c r="A241" s="4"/>
      <c r="B241" s="4"/>
      <c r="C241" s="4"/>
      <c r="D241" s="4"/>
      <c r="E241" s="4"/>
    </row>
    <row r="242" spans="1:5" ht="15.75" customHeight="1" x14ac:dyDescent="0.3">
      <c r="A242" s="4"/>
      <c r="B242" s="4"/>
      <c r="C242" s="4"/>
      <c r="D242" s="4"/>
      <c r="E242" s="4"/>
    </row>
    <row r="243" spans="1:5" ht="15.75" customHeight="1" x14ac:dyDescent="0.3">
      <c r="A243" s="4"/>
      <c r="B243" s="4"/>
      <c r="C243" s="4"/>
      <c r="D243" s="4"/>
      <c r="E243" s="4"/>
    </row>
    <row r="244" spans="1:5" ht="15.75" customHeight="1" x14ac:dyDescent="0.3">
      <c r="A244" s="4"/>
      <c r="B244" s="4"/>
      <c r="C244" s="4"/>
      <c r="D244" s="4"/>
      <c r="E244" s="4"/>
    </row>
    <row r="245" spans="1:5" ht="15.75" customHeight="1" x14ac:dyDescent="0.3">
      <c r="A245" s="4"/>
      <c r="B245" s="4"/>
      <c r="C245" s="4"/>
      <c r="D245" s="4"/>
      <c r="E245" s="4"/>
    </row>
    <row r="246" spans="1:5" ht="15.75" customHeight="1" x14ac:dyDescent="0.3">
      <c r="A246" s="4"/>
      <c r="B246" s="4"/>
      <c r="C246" s="4"/>
      <c r="D246" s="4"/>
      <c r="E246" s="4"/>
    </row>
    <row r="247" spans="1:5" ht="15.75" customHeight="1" x14ac:dyDescent="0.3">
      <c r="A247" s="4"/>
      <c r="B247" s="4"/>
      <c r="C247" s="4"/>
      <c r="D247" s="4"/>
      <c r="E247" s="4"/>
    </row>
    <row r="248" spans="1:5" ht="15.75" customHeight="1" x14ac:dyDescent="0.3">
      <c r="A248" s="4"/>
      <c r="B248" s="4"/>
      <c r="C248" s="4"/>
      <c r="D248" s="4"/>
      <c r="E248" s="4"/>
    </row>
    <row r="249" spans="1:5" ht="15.75" customHeight="1" x14ac:dyDescent="0.3">
      <c r="A249" s="4"/>
      <c r="B249" s="4"/>
      <c r="C249" s="4"/>
      <c r="D249" s="4"/>
      <c r="E249" s="4"/>
    </row>
    <row r="250" spans="1:5" ht="15.75" customHeight="1" x14ac:dyDescent="0.3">
      <c r="A250" s="4"/>
      <c r="B250" s="4"/>
      <c r="C250" s="4"/>
      <c r="D250" s="4"/>
      <c r="E250" s="4"/>
    </row>
    <row r="251" spans="1:5" ht="15.75" customHeight="1" x14ac:dyDescent="0.3">
      <c r="A251" s="4"/>
      <c r="B251" s="4"/>
      <c r="C251" s="4"/>
      <c r="D251" s="4"/>
      <c r="E251" s="4"/>
    </row>
    <row r="252" spans="1:5" ht="15.75" customHeight="1" x14ac:dyDescent="0.3">
      <c r="A252" s="4"/>
      <c r="B252" s="4"/>
      <c r="C252" s="4"/>
      <c r="D252" s="4"/>
      <c r="E252" s="4"/>
    </row>
    <row r="253" spans="1:5" ht="15.75" customHeight="1" x14ac:dyDescent="0.3">
      <c r="A253" s="4"/>
      <c r="B253" s="4"/>
      <c r="C253" s="4"/>
      <c r="D253" s="4"/>
      <c r="E253" s="4"/>
    </row>
    <row r="254" spans="1:5" ht="15.75" customHeight="1" x14ac:dyDescent="0.3">
      <c r="A254" s="4"/>
      <c r="B254" s="4"/>
      <c r="C254" s="4"/>
      <c r="D254" s="4"/>
      <c r="E254" s="4"/>
    </row>
    <row r="255" spans="1:5" ht="15.75" customHeight="1" x14ac:dyDescent="0.3">
      <c r="A255" s="4"/>
      <c r="B255" s="4"/>
      <c r="C255" s="4"/>
      <c r="D255" s="4"/>
      <c r="E255" s="4"/>
    </row>
    <row r="256" spans="1:5" ht="15.75" customHeight="1" x14ac:dyDescent="0.3">
      <c r="A256" s="4"/>
      <c r="B256" s="4"/>
      <c r="C256" s="4"/>
      <c r="D256" s="4"/>
      <c r="E256" s="4"/>
    </row>
    <row r="257" spans="1:5" ht="15.75" customHeight="1" x14ac:dyDescent="0.3">
      <c r="A257" s="4"/>
      <c r="B257" s="4"/>
      <c r="C257" s="4"/>
      <c r="D257" s="4"/>
      <c r="E257" s="4"/>
    </row>
    <row r="258" spans="1:5" ht="15.75" customHeight="1" x14ac:dyDescent="0.3">
      <c r="A258" s="4"/>
      <c r="B258" s="4"/>
      <c r="C258" s="4"/>
      <c r="D258" s="4"/>
      <c r="E258" s="4"/>
    </row>
    <row r="259" spans="1:5" ht="15.75" customHeight="1" x14ac:dyDescent="0.3">
      <c r="A259" s="4"/>
      <c r="B259" s="4"/>
      <c r="C259" s="4"/>
      <c r="D259" s="4"/>
      <c r="E259" s="4"/>
    </row>
    <row r="260" spans="1:5" ht="15.75" customHeight="1" x14ac:dyDescent="0.3">
      <c r="A260" s="4"/>
      <c r="B260" s="4"/>
      <c r="C260" s="4"/>
      <c r="D260" s="4"/>
      <c r="E260" s="4"/>
    </row>
    <row r="261" spans="1:5" ht="15.75" customHeight="1" x14ac:dyDescent="0.3">
      <c r="A261" s="4"/>
      <c r="B261" s="4"/>
      <c r="C261" s="4"/>
      <c r="D261" s="4"/>
      <c r="E261" s="4"/>
    </row>
    <row r="262" spans="1:5" ht="15.75" customHeight="1" x14ac:dyDescent="0.3">
      <c r="A262" s="4"/>
      <c r="B262" s="4"/>
      <c r="C262" s="4"/>
      <c r="D262" s="4"/>
      <c r="E262" s="4"/>
    </row>
    <row r="263" spans="1:5" ht="15.75" customHeight="1" x14ac:dyDescent="0.3">
      <c r="A263" s="4"/>
      <c r="B263" s="4"/>
      <c r="C263" s="4"/>
      <c r="D263" s="4"/>
      <c r="E263" s="4"/>
    </row>
    <row r="264" spans="1:5" ht="15.75" customHeight="1" x14ac:dyDescent="0.3">
      <c r="A264" s="4"/>
      <c r="B264" s="4"/>
      <c r="C264" s="4"/>
      <c r="D264" s="4"/>
      <c r="E264" s="4"/>
    </row>
    <row r="265" spans="1:5" ht="15.75" customHeight="1" x14ac:dyDescent="0.3">
      <c r="A265" s="4"/>
      <c r="B265" s="4"/>
      <c r="C265" s="4"/>
      <c r="D265" s="4"/>
      <c r="E265" s="4"/>
    </row>
    <row r="266" spans="1:5" ht="15.75" customHeight="1" x14ac:dyDescent="0.3">
      <c r="A266" s="4"/>
      <c r="B266" s="4"/>
      <c r="C266" s="4"/>
      <c r="D266" s="4"/>
      <c r="E266" s="4"/>
    </row>
    <row r="267" spans="1:5" ht="15.75" customHeight="1" x14ac:dyDescent="0.3">
      <c r="A267" s="4"/>
      <c r="B267" s="4"/>
      <c r="C267" s="4"/>
      <c r="D267" s="4"/>
      <c r="E267" s="4"/>
    </row>
    <row r="268" spans="1:5" ht="15.75" customHeight="1" x14ac:dyDescent="0.3">
      <c r="A268" s="4"/>
      <c r="B268" s="4"/>
      <c r="C268" s="4"/>
      <c r="D268" s="4"/>
      <c r="E268" s="4"/>
    </row>
    <row r="269" spans="1:5" ht="15.75" customHeight="1" x14ac:dyDescent="0.3">
      <c r="A269" s="4"/>
      <c r="B269" s="4"/>
      <c r="C269" s="4"/>
      <c r="D269" s="4"/>
      <c r="E269" s="4"/>
    </row>
    <row r="270" spans="1:5" ht="15.75" customHeight="1" x14ac:dyDescent="0.3">
      <c r="A270" s="4"/>
      <c r="B270" s="4"/>
      <c r="C270" s="4"/>
      <c r="D270" s="4"/>
      <c r="E270" s="4"/>
    </row>
    <row r="271" spans="1:5" ht="15.75" customHeight="1" x14ac:dyDescent="0.3">
      <c r="A271" s="4"/>
      <c r="B271" s="4"/>
      <c r="C271" s="4"/>
      <c r="D271" s="4"/>
      <c r="E271" s="4"/>
    </row>
    <row r="272" spans="1:5" ht="15.75" customHeight="1" x14ac:dyDescent="0.3">
      <c r="A272" s="4"/>
      <c r="B272" s="4"/>
      <c r="C272" s="4"/>
      <c r="D272" s="4"/>
      <c r="E272" s="4"/>
    </row>
    <row r="273" spans="1:5" ht="15.75" customHeight="1" x14ac:dyDescent="0.3">
      <c r="A273" s="4"/>
      <c r="B273" s="4"/>
      <c r="C273" s="4"/>
      <c r="D273" s="4"/>
      <c r="E273" s="4"/>
    </row>
    <row r="274" spans="1:5" ht="15.75" customHeight="1" x14ac:dyDescent="0.3">
      <c r="A274" s="4"/>
      <c r="B274" s="4"/>
      <c r="C274" s="4"/>
      <c r="D274" s="4"/>
      <c r="E274" s="4"/>
    </row>
    <row r="275" spans="1:5" ht="15.75" customHeight="1" x14ac:dyDescent="0.3">
      <c r="A275" s="4"/>
      <c r="B275" s="4"/>
      <c r="C275" s="4"/>
      <c r="D275" s="4"/>
      <c r="E275" s="4"/>
    </row>
    <row r="276" spans="1:5" ht="15.75" customHeight="1" x14ac:dyDescent="0.3">
      <c r="A276" s="4"/>
      <c r="B276" s="4"/>
      <c r="C276" s="4"/>
      <c r="D276" s="4"/>
      <c r="E276" s="4"/>
    </row>
    <row r="277" spans="1:5" ht="15.75" customHeight="1" x14ac:dyDescent="0.3">
      <c r="A277" s="4"/>
      <c r="B277" s="4"/>
      <c r="C277" s="4"/>
      <c r="D277" s="4"/>
      <c r="E277" s="4"/>
    </row>
    <row r="278" spans="1:5" ht="15.75" customHeight="1" x14ac:dyDescent="0.3">
      <c r="A278" s="4"/>
      <c r="B278" s="4"/>
      <c r="C278" s="4"/>
      <c r="D278" s="4"/>
      <c r="E278" s="4"/>
    </row>
    <row r="279" spans="1:5" ht="15.75" customHeight="1" x14ac:dyDescent="0.3">
      <c r="A279" s="4"/>
      <c r="B279" s="4"/>
      <c r="C279" s="4"/>
      <c r="D279" s="4"/>
      <c r="E279" s="4"/>
    </row>
    <row r="280" spans="1:5" ht="15.75" customHeight="1" x14ac:dyDescent="0.3">
      <c r="A280" s="4"/>
      <c r="B280" s="4"/>
      <c r="C280" s="4"/>
      <c r="D280" s="4"/>
      <c r="E280" s="4"/>
    </row>
    <row r="281" spans="1:5" ht="15.75" customHeight="1" x14ac:dyDescent="0.3">
      <c r="A281" s="4"/>
      <c r="B281" s="4"/>
      <c r="C281" s="4"/>
      <c r="D281" s="4"/>
      <c r="E281" s="4"/>
    </row>
    <row r="282" spans="1:5" ht="15.75" customHeight="1" x14ac:dyDescent="0.3">
      <c r="A282" s="4"/>
      <c r="B282" s="4"/>
      <c r="C282" s="4"/>
      <c r="D282" s="4"/>
      <c r="E282" s="4"/>
    </row>
    <row r="283" spans="1:5" ht="15.75" customHeight="1" x14ac:dyDescent="0.3">
      <c r="A283" s="4"/>
      <c r="B283" s="4"/>
      <c r="C283" s="4"/>
      <c r="D283" s="4"/>
      <c r="E283" s="4"/>
    </row>
    <row r="284" spans="1:5" ht="15.75" customHeight="1" x14ac:dyDescent="0.3">
      <c r="A284" s="4"/>
      <c r="B284" s="4"/>
      <c r="C284" s="4"/>
      <c r="D284" s="4"/>
      <c r="E284" s="4"/>
    </row>
    <row r="285" spans="1:5" ht="15.75" customHeight="1" x14ac:dyDescent="0.3">
      <c r="A285" s="4"/>
      <c r="B285" s="4"/>
      <c r="C285" s="4"/>
      <c r="D285" s="4"/>
      <c r="E285" s="4"/>
    </row>
    <row r="286" spans="1:5" ht="15.75" customHeight="1" x14ac:dyDescent="0.3">
      <c r="A286" s="4"/>
      <c r="B286" s="4"/>
      <c r="C286" s="4"/>
      <c r="D286" s="4"/>
      <c r="E286" s="4"/>
    </row>
    <row r="287" spans="1:5" ht="15.75" customHeight="1" x14ac:dyDescent="0.3">
      <c r="A287" s="4"/>
      <c r="B287" s="4"/>
      <c r="C287" s="4"/>
      <c r="D287" s="4"/>
      <c r="E287" s="4"/>
    </row>
    <row r="288" spans="1:5" ht="15.75" customHeight="1" x14ac:dyDescent="0.3">
      <c r="A288" s="4"/>
      <c r="B288" s="4"/>
      <c r="C288" s="4"/>
      <c r="D288" s="4"/>
      <c r="E288" s="4"/>
    </row>
    <row r="289" spans="1:5" ht="15.75" customHeight="1" x14ac:dyDescent="0.3">
      <c r="A289" s="4"/>
      <c r="B289" s="4"/>
      <c r="C289" s="4"/>
      <c r="D289" s="4"/>
      <c r="E289" s="4"/>
    </row>
    <row r="290" spans="1:5" ht="15.75" customHeight="1" x14ac:dyDescent="0.3">
      <c r="A290" s="4"/>
      <c r="B290" s="4"/>
      <c r="C290" s="4"/>
      <c r="D290" s="4"/>
      <c r="E290" s="4"/>
    </row>
    <row r="291" spans="1:5" ht="15.75" customHeight="1" x14ac:dyDescent="0.3">
      <c r="A291" s="4"/>
      <c r="B291" s="4"/>
      <c r="C291" s="4"/>
      <c r="D291" s="4"/>
      <c r="E291" s="4"/>
    </row>
    <row r="292" spans="1:5" ht="15.75" customHeight="1" x14ac:dyDescent="0.3">
      <c r="A292" s="4"/>
      <c r="B292" s="4"/>
      <c r="C292" s="4"/>
      <c r="D292" s="4"/>
      <c r="E292" s="4"/>
    </row>
    <row r="293" spans="1:5" ht="15.75" customHeight="1" x14ac:dyDescent="0.3">
      <c r="A293" s="4"/>
      <c r="B293" s="4"/>
      <c r="C293" s="4"/>
      <c r="D293" s="4"/>
      <c r="E293" s="4"/>
    </row>
    <row r="294" spans="1:5" ht="15.75" customHeight="1" x14ac:dyDescent="0.3">
      <c r="A294" s="4"/>
      <c r="B294" s="4"/>
      <c r="C294" s="4"/>
      <c r="D294" s="4"/>
      <c r="E294" s="4"/>
    </row>
    <row r="295" spans="1:5" ht="15.75" customHeight="1" x14ac:dyDescent="0.3">
      <c r="A295" s="4"/>
      <c r="B295" s="4"/>
      <c r="C295" s="4"/>
      <c r="D295" s="4"/>
      <c r="E295" s="4"/>
    </row>
    <row r="296" spans="1:5" ht="15.75" customHeight="1" x14ac:dyDescent="0.3">
      <c r="A296" s="4"/>
      <c r="B296" s="4"/>
      <c r="C296" s="4"/>
      <c r="D296" s="4"/>
      <c r="E296" s="4"/>
    </row>
    <row r="297" spans="1:5" ht="15.75" customHeight="1" x14ac:dyDescent="0.3">
      <c r="A297" s="4"/>
      <c r="B297" s="4"/>
      <c r="C297" s="4"/>
      <c r="D297" s="4"/>
      <c r="E297" s="4"/>
    </row>
    <row r="298" spans="1:5" ht="15.75" customHeight="1" x14ac:dyDescent="0.3">
      <c r="A298" s="4"/>
      <c r="B298" s="4"/>
      <c r="C298" s="4"/>
      <c r="D298" s="4"/>
      <c r="E298" s="4"/>
    </row>
    <row r="299" spans="1:5" ht="15.75" customHeight="1" x14ac:dyDescent="0.3">
      <c r="A299" s="4"/>
      <c r="B299" s="4"/>
      <c r="C299" s="4"/>
      <c r="D299" s="4"/>
      <c r="E299" s="4"/>
    </row>
    <row r="300" spans="1:5" ht="15.75" customHeight="1" x14ac:dyDescent="0.3">
      <c r="A300" s="4"/>
      <c r="B300" s="4"/>
      <c r="C300" s="4"/>
      <c r="D300" s="4"/>
      <c r="E300" s="4"/>
    </row>
    <row r="301" spans="1:5" ht="15.75" customHeight="1" x14ac:dyDescent="0.3">
      <c r="A301" s="4"/>
      <c r="B301" s="4"/>
      <c r="C301" s="4"/>
      <c r="D301" s="4"/>
      <c r="E301" s="4"/>
    </row>
    <row r="302" spans="1:5" ht="15.75" customHeight="1" x14ac:dyDescent="0.3">
      <c r="A302" s="4"/>
      <c r="B302" s="4"/>
      <c r="C302" s="4"/>
      <c r="D302" s="4"/>
      <c r="E302" s="4"/>
    </row>
    <row r="303" spans="1:5" ht="15.75" customHeight="1" x14ac:dyDescent="0.3">
      <c r="A303" s="4"/>
      <c r="B303" s="4"/>
      <c r="C303" s="4"/>
      <c r="D303" s="4"/>
      <c r="E303" s="4"/>
    </row>
    <row r="304" spans="1:5" ht="15.75" customHeight="1" x14ac:dyDescent="0.3">
      <c r="A304" s="4"/>
      <c r="B304" s="4"/>
      <c r="C304" s="4"/>
      <c r="D304" s="4"/>
      <c r="E304" s="4"/>
    </row>
    <row r="305" spans="1:5" ht="15.75" customHeight="1" x14ac:dyDescent="0.3">
      <c r="A305" s="4"/>
      <c r="B305" s="4"/>
      <c r="C305" s="4"/>
      <c r="D305" s="4"/>
      <c r="E305" s="4"/>
    </row>
    <row r="306" spans="1:5" ht="15.75" customHeight="1" x14ac:dyDescent="0.3">
      <c r="A306" s="4"/>
      <c r="B306" s="4"/>
      <c r="C306" s="4"/>
      <c r="D306" s="4"/>
      <c r="E306" s="4"/>
    </row>
    <row r="307" spans="1:5" ht="15.75" customHeight="1" x14ac:dyDescent="0.3">
      <c r="A307" s="4"/>
      <c r="B307" s="4"/>
      <c r="C307" s="4"/>
      <c r="D307" s="4"/>
      <c r="E307" s="4"/>
    </row>
    <row r="308" spans="1:5" ht="15.75" customHeight="1" x14ac:dyDescent="0.3">
      <c r="A308" s="4"/>
      <c r="B308" s="4"/>
      <c r="C308" s="4"/>
      <c r="D308" s="4"/>
      <c r="E308" s="4"/>
    </row>
    <row r="309" spans="1:5" ht="15.75" customHeight="1" x14ac:dyDescent="0.3">
      <c r="A309" s="4"/>
      <c r="B309" s="4"/>
      <c r="C309" s="4"/>
      <c r="D309" s="4"/>
      <c r="E309" s="4"/>
    </row>
    <row r="310" spans="1:5" ht="15.75" customHeight="1" x14ac:dyDescent="0.3">
      <c r="A310" s="4"/>
      <c r="B310" s="4"/>
      <c r="C310" s="4"/>
      <c r="D310" s="4"/>
      <c r="E310" s="4"/>
    </row>
    <row r="311" spans="1:5" ht="15.75" customHeight="1" x14ac:dyDescent="0.3">
      <c r="A311" s="4"/>
      <c r="B311" s="4"/>
      <c r="C311" s="4"/>
      <c r="D311" s="4"/>
      <c r="E311" s="4"/>
    </row>
    <row r="312" spans="1:5" ht="15.75" customHeight="1" x14ac:dyDescent="0.3">
      <c r="A312" s="4"/>
      <c r="B312" s="4"/>
      <c r="C312" s="4"/>
      <c r="D312" s="4"/>
      <c r="E312" s="4"/>
    </row>
    <row r="313" spans="1:5" ht="15.75" customHeight="1" x14ac:dyDescent="0.3">
      <c r="A313" s="4"/>
      <c r="B313" s="4"/>
      <c r="C313" s="4"/>
      <c r="D313" s="4"/>
      <c r="E313" s="4"/>
    </row>
    <row r="314" spans="1:5" ht="15.75" customHeight="1" x14ac:dyDescent="0.3">
      <c r="A314" s="4"/>
      <c r="B314" s="4"/>
      <c r="C314" s="4"/>
      <c r="D314" s="4"/>
      <c r="E314" s="4"/>
    </row>
    <row r="315" spans="1:5" ht="15.75" customHeight="1" x14ac:dyDescent="0.3">
      <c r="A315" s="4"/>
      <c r="B315" s="4"/>
      <c r="C315" s="4"/>
      <c r="D315" s="4"/>
      <c r="E315" s="4"/>
    </row>
    <row r="316" spans="1:5" ht="15.75" customHeight="1" x14ac:dyDescent="0.3">
      <c r="A316" s="4"/>
      <c r="B316" s="4"/>
      <c r="C316" s="4"/>
      <c r="D316" s="4"/>
      <c r="E316" s="4"/>
    </row>
    <row r="317" spans="1:5" ht="15.75" customHeight="1" x14ac:dyDescent="0.3">
      <c r="A317" s="4"/>
      <c r="B317" s="4"/>
      <c r="C317" s="4"/>
      <c r="D317" s="4"/>
      <c r="E317" s="4"/>
    </row>
    <row r="318" spans="1:5" ht="15.75" customHeight="1" x14ac:dyDescent="0.3">
      <c r="A318" s="4"/>
      <c r="B318" s="4"/>
      <c r="C318" s="4"/>
      <c r="D318" s="4"/>
      <c r="E318" s="4"/>
    </row>
    <row r="319" spans="1:5" ht="15.75" customHeight="1" x14ac:dyDescent="0.3">
      <c r="A319" s="4"/>
      <c r="B319" s="4"/>
      <c r="C319" s="4"/>
      <c r="D319" s="4"/>
      <c r="E319" s="4"/>
    </row>
    <row r="320" spans="1:5" ht="15.75" customHeight="1" x14ac:dyDescent="0.3">
      <c r="A320" s="4"/>
      <c r="B320" s="4"/>
      <c r="C320" s="4"/>
      <c r="D320" s="4"/>
      <c r="E320" s="4"/>
    </row>
    <row r="321" spans="1:5" ht="15.75" customHeight="1" x14ac:dyDescent="0.3">
      <c r="A321" s="4"/>
      <c r="B321" s="4"/>
      <c r="C321" s="4"/>
      <c r="D321" s="4"/>
      <c r="E321" s="4"/>
    </row>
    <row r="322" spans="1:5" ht="15.75" customHeight="1" x14ac:dyDescent="0.3">
      <c r="A322" s="4"/>
      <c r="B322" s="4"/>
      <c r="C322" s="4"/>
      <c r="D322" s="4"/>
      <c r="E322" s="4"/>
    </row>
    <row r="323" spans="1:5" ht="15.75" customHeight="1" x14ac:dyDescent="0.3">
      <c r="A323" s="4"/>
      <c r="B323" s="4"/>
      <c r="C323" s="4"/>
      <c r="D323" s="4"/>
      <c r="E323" s="4"/>
    </row>
    <row r="324" spans="1:5" ht="15.75" customHeight="1" x14ac:dyDescent="0.3">
      <c r="A324" s="4"/>
      <c r="B324" s="4"/>
      <c r="C324" s="4"/>
      <c r="D324" s="4"/>
      <c r="E324" s="4"/>
    </row>
    <row r="325" spans="1:5" ht="15.75" customHeight="1" x14ac:dyDescent="0.3">
      <c r="A325" s="4"/>
      <c r="B325" s="4"/>
      <c r="C325" s="4"/>
      <c r="D325" s="4"/>
      <c r="E325" s="4"/>
    </row>
    <row r="326" spans="1:5" ht="15.75" customHeight="1" x14ac:dyDescent="0.3">
      <c r="A326" s="4"/>
      <c r="B326" s="4"/>
      <c r="C326" s="4"/>
      <c r="D326" s="4"/>
      <c r="E326" s="4"/>
    </row>
    <row r="327" spans="1:5" ht="15.75" customHeight="1" x14ac:dyDescent="0.3">
      <c r="A327" s="4"/>
      <c r="B327" s="4"/>
      <c r="C327" s="4"/>
      <c r="D327" s="4"/>
      <c r="E327" s="4"/>
    </row>
    <row r="328" spans="1:5" ht="15.75" customHeight="1" x14ac:dyDescent="0.3">
      <c r="A328" s="4"/>
      <c r="B328" s="4"/>
      <c r="C328" s="4"/>
      <c r="D328" s="4"/>
      <c r="E328" s="4"/>
    </row>
    <row r="329" spans="1:5" ht="15.75" customHeight="1" x14ac:dyDescent="0.3">
      <c r="A329" s="4"/>
      <c r="B329" s="4"/>
      <c r="C329" s="4"/>
      <c r="D329" s="4"/>
      <c r="E329" s="4"/>
    </row>
    <row r="330" spans="1:5" ht="15.75" customHeight="1" x14ac:dyDescent="0.3">
      <c r="A330" s="4"/>
      <c r="B330" s="4"/>
      <c r="C330" s="4"/>
      <c r="D330" s="4"/>
      <c r="E330" s="4"/>
    </row>
    <row r="331" spans="1:5" ht="15.75" customHeight="1" x14ac:dyDescent="0.3">
      <c r="A331" s="4"/>
      <c r="B331" s="4"/>
      <c r="C331" s="4"/>
      <c r="D331" s="4"/>
      <c r="E331" s="4"/>
    </row>
    <row r="332" spans="1:5" ht="15.75" customHeight="1" x14ac:dyDescent="0.3">
      <c r="A332" s="4"/>
      <c r="B332" s="4"/>
      <c r="C332" s="4"/>
      <c r="D332" s="4"/>
      <c r="E332" s="4"/>
    </row>
    <row r="333" spans="1:5" ht="15.75" customHeight="1" x14ac:dyDescent="0.3">
      <c r="A333" s="4"/>
      <c r="B333" s="4"/>
      <c r="C333" s="4"/>
      <c r="D333" s="4"/>
      <c r="E333" s="4"/>
    </row>
    <row r="334" spans="1:5" ht="15.75" customHeight="1" x14ac:dyDescent="0.3">
      <c r="A334" s="4"/>
      <c r="B334" s="4"/>
      <c r="C334" s="4"/>
      <c r="D334" s="4"/>
      <c r="E334" s="4"/>
    </row>
    <row r="335" spans="1:5" ht="15.75" customHeight="1" x14ac:dyDescent="0.3">
      <c r="A335" s="4"/>
      <c r="B335" s="4"/>
      <c r="C335" s="4"/>
      <c r="D335" s="4"/>
      <c r="E335" s="4"/>
    </row>
    <row r="336" spans="1:5" ht="15.75" customHeight="1" x14ac:dyDescent="0.3">
      <c r="A336" s="4"/>
      <c r="B336" s="4"/>
      <c r="C336" s="4"/>
      <c r="D336" s="4"/>
      <c r="E336" s="4"/>
    </row>
    <row r="337" spans="1:5" ht="15.75" customHeight="1" x14ac:dyDescent="0.3">
      <c r="A337" s="4"/>
      <c r="B337" s="4"/>
      <c r="C337" s="4"/>
      <c r="D337" s="4"/>
      <c r="E337" s="4"/>
    </row>
    <row r="338" spans="1:5" ht="15.75" customHeight="1" x14ac:dyDescent="0.3">
      <c r="A338" s="4"/>
      <c r="B338" s="4"/>
      <c r="C338" s="4"/>
      <c r="D338" s="4"/>
      <c r="E338" s="4"/>
    </row>
    <row r="339" spans="1:5" ht="15.75" customHeight="1" x14ac:dyDescent="0.3">
      <c r="A339" s="4"/>
      <c r="B339" s="4"/>
      <c r="C339" s="4"/>
      <c r="D339" s="4"/>
      <c r="E339" s="4"/>
    </row>
    <row r="340" spans="1:5" ht="15.75" customHeight="1" x14ac:dyDescent="0.3">
      <c r="A340" s="4"/>
      <c r="B340" s="4"/>
      <c r="C340" s="4"/>
      <c r="D340" s="4"/>
      <c r="E340" s="4"/>
    </row>
    <row r="341" spans="1:5" ht="15.75" customHeight="1" x14ac:dyDescent="0.3">
      <c r="A341" s="4"/>
      <c r="B341" s="4"/>
      <c r="C341" s="4"/>
      <c r="D341" s="4"/>
      <c r="E341" s="4"/>
    </row>
    <row r="342" spans="1:5" ht="15.75" customHeight="1" x14ac:dyDescent="0.3">
      <c r="A342" s="4"/>
      <c r="B342" s="4"/>
      <c r="C342" s="4"/>
      <c r="D342" s="4"/>
      <c r="E342" s="4"/>
    </row>
    <row r="343" spans="1:5" ht="15.75" customHeight="1" x14ac:dyDescent="0.3">
      <c r="A343" s="4"/>
      <c r="B343" s="4"/>
      <c r="C343" s="4"/>
      <c r="D343" s="4"/>
      <c r="E343" s="4"/>
    </row>
    <row r="344" spans="1:5" ht="15.75" customHeight="1" x14ac:dyDescent="0.3">
      <c r="A344" s="4"/>
      <c r="B344" s="4"/>
      <c r="C344" s="4"/>
      <c r="D344" s="4"/>
      <c r="E344" s="4"/>
    </row>
    <row r="345" spans="1:5" ht="15.75" customHeight="1" x14ac:dyDescent="0.3">
      <c r="A345" s="4"/>
      <c r="B345" s="4"/>
      <c r="C345" s="4"/>
      <c r="D345" s="4"/>
      <c r="E345" s="4"/>
    </row>
    <row r="346" spans="1:5" ht="15.75" customHeight="1" x14ac:dyDescent="0.3">
      <c r="A346" s="4"/>
      <c r="B346" s="4"/>
      <c r="C346" s="4"/>
      <c r="D346" s="4"/>
      <c r="E346" s="4"/>
    </row>
    <row r="347" spans="1:5" ht="15.75" customHeight="1" x14ac:dyDescent="0.3">
      <c r="A347" s="4"/>
      <c r="B347" s="4"/>
      <c r="C347" s="4"/>
      <c r="D347" s="4"/>
      <c r="E347" s="4"/>
    </row>
    <row r="348" spans="1:5" ht="15.75" customHeight="1" x14ac:dyDescent="0.3">
      <c r="A348" s="4"/>
      <c r="B348" s="4"/>
      <c r="C348" s="4"/>
      <c r="D348" s="4"/>
      <c r="E348" s="4"/>
    </row>
    <row r="349" spans="1:5" ht="15.75" customHeight="1" x14ac:dyDescent="0.3">
      <c r="A349" s="4"/>
      <c r="B349" s="4"/>
      <c r="C349" s="4"/>
      <c r="D349" s="4"/>
      <c r="E349" s="4"/>
    </row>
    <row r="350" spans="1:5" ht="15.75" customHeight="1" x14ac:dyDescent="0.3">
      <c r="A350" s="4"/>
      <c r="B350" s="4"/>
      <c r="C350" s="4"/>
      <c r="D350" s="4"/>
      <c r="E350" s="4"/>
    </row>
    <row r="351" spans="1:5" ht="15.75" customHeight="1" x14ac:dyDescent="0.3">
      <c r="A351" s="4"/>
      <c r="B351" s="4"/>
      <c r="C351" s="4"/>
      <c r="D351" s="4"/>
      <c r="E351" s="4"/>
    </row>
    <row r="352" spans="1:5" ht="15.75" customHeight="1" x14ac:dyDescent="0.3">
      <c r="A352" s="4"/>
      <c r="B352" s="4"/>
      <c r="C352" s="4"/>
      <c r="D352" s="4"/>
      <c r="E352" s="4"/>
    </row>
    <row r="353" spans="1:5" ht="15.75" customHeight="1" x14ac:dyDescent="0.3">
      <c r="A353" s="4"/>
      <c r="B353" s="4"/>
      <c r="C353" s="4"/>
      <c r="D353" s="4"/>
      <c r="E353" s="4"/>
    </row>
    <row r="354" spans="1:5" ht="15.75" customHeight="1" x14ac:dyDescent="0.3">
      <c r="A354" s="4"/>
      <c r="B354" s="4"/>
      <c r="C354" s="4"/>
      <c r="D354" s="4"/>
      <c r="E354" s="4"/>
    </row>
    <row r="355" spans="1:5" ht="15.75" customHeight="1" x14ac:dyDescent="0.3">
      <c r="A355" s="4"/>
      <c r="B355" s="4"/>
      <c r="C355" s="4"/>
      <c r="D355" s="4"/>
      <c r="E355" s="4"/>
    </row>
    <row r="356" spans="1:5" ht="15.75" customHeight="1" x14ac:dyDescent="0.3">
      <c r="A356" s="4"/>
      <c r="B356" s="4"/>
      <c r="C356" s="4"/>
      <c r="D356" s="4"/>
      <c r="E356" s="4"/>
    </row>
    <row r="357" spans="1:5" ht="15.75" customHeight="1" x14ac:dyDescent="0.3">
      <c r="A357" s="4"/>
      <c r="B357" s="4"/>
      <c r="C357" s="4"/>
      <c r="D357" s="4"/>
      <c r="E357" s="4"/>
    </row>
    <row r="358" spans="1:5" ht="15.75" customHeight="1" x14ac:dyDescent="0.3">
      <c r="A358" s="4"/>
      <c r="B358" s="4"/>
      <c r="C358" s="4"/>
      <c r="D358" s="4"/>
      <c r="E358" s="4"/>
    </row>
    <row r="359" spans="1:5" ht="15.75" customHeight="1" x14ac:dyDescent="0.3">
      <c r="A359" s="4"/>
      <c r="B359" s="4"/>
      <c r="C359" s="4"/>
      <c r="D359" s="4"/>
      <c r="E359" s="4"/>
    </row>
    <row r="360" spans="1:5" ht="15.75" customHeight="1" x14ac:dyDescent="0.3">
      <c r="A360" s="4"/>
      <c r="B360" s="4"/>
      <c r="C360" s="4"/>
      <c r="D360" s="4"/>
      <c r="E360" s="4"/>
    </row>
    <row r="361" spans="1:5" ht="15.75" customHeight="1" x14ac:dyDescent="0.3">
      <c r="A361" s="4"/>
      <c r="B361" s="4"/>
      <c r="C361" s="4"/>
      <c r="D361" s="4"/>
      <c r="E361" s="4"/>
    </row>
    <row r="362" spans="1:5" ht="15.75" customHeight="1" x14ac:dyDescent="0.3">
      <c r="A362" s="4"/>
      <c r="B362" s="4"/>
      <c r="C362" s="4"/>
      <c r="D362" s="4"/>
      <c r="E362" s="4"/>
    </row>
    <row r="363" spans="1:5" ht="15.75" customHeight="1" x14ac:dyDescent="0.3">
      <c r="A363" s="4"/>
      <c r="B363" s="4"/>
      <c r="C363" s="4"/>
      <c r="D363" s="4"/>
      <c r="E363" s="4"/>
    </row>
    <row r="364" spans="1:5" ht="15.75" customHeight="1" x14ac:dyDescent="0.3">
      <c r="A364" s="4"/>
      <c r="B364" s="4"/>
      <c r="C364" s="4"/>
      <c r="D364" s="4"/>
      <c r="E364" s="4"/>
    </row>
    <row r="365" spans="1:5" ht="15.75" customHeight="1" x14ac:dyDescent="0.3">
      <c r="A365" s="4"/>
      <c r="B365" s="4"/>
      <c r="C365" s="4"/>
      <c r="D365" s="4"/>
      <c r="E365" s="4"/>
    </row>
    <row r="366" spans="1:5" ht="15.75" customHeight="1" x14ac:dyDescent="0.3">
      <c r="A366" s="4"/>
      <c r="B366" s="4"/>
      <c r="C366" s="4"/>
      <c r="D366" s="4"/>
      <c r="E366" s="4"/>
    </row>
    <row r="367" spans="1:5" ht="15.75" customHeight="1" x14ac:dyDescent="0.3">
      <c r="A367" s="4"/>
      <c r="B367" s="4"/>
      <c r="C367" s="4"/>
      <c r="D367" s="4"/>
      <c r="E367" s="4"/>
    </row>
    <row r="368" spans="1:5" ht="15.75" customHeight="1" x14ac:dyDescent="0.3">
      <c r="A368" s="4"/>
      <c r="B368" s="4"/>
      <c r="C368" s="4"/>
      <c r="D368" s="4"/>
      <c r="E368" s="4"/>
    </row>
    <row r="369" spans="1:5" ht="15.75" customHeight="1" x14ac:dyDescent="0.3">
      <c r="A369" s="4"/>
      <c r="B369" s="4"/>
      <c r="C369" s="4"/>
      <c r="D369" s="4"/>
      <c r="E369" s="4"/>
    </row>
    <row r="370" spans="1:5" ht="15.75" customHeight="1" x14ac:dyDescent="0.3">
      <c r="A370" s="4"/>
      <c r="B370" s="4"/>
      <c r="C370" s="4"/>
      <c r="D370" s="4"/>
      <c r="E370" s="4"/>
    </row>
    <row r="371" spans="1:5" ht="15.75" customHeight="1" x14ac:dyDescent="0.3">
      <c r="A371" s="4"/>
      <c r="B371" s="4"/>
      <c r="C371" s="4"/>
      <c r="D371" s="4"/>
      <c r="E371" s="4"/>
    </row>
    <row r="372" spans="1:5" ht="15.75" customHeight="1" x14ac:dyDescent="0.3">
      <c r="A372" s="4"/>
      <c r="B372" s="4"/>
      <c r="C372" s="4"/>
      <c r="D372" s="4"/>
      <c r="E372" s="4"/>
    </row>
    <row r="373" spans="1:5" ht="15.75" customHeight="1" x14ac:dyDescent="0.3">
      <c r="A373" s="4"/>
      <c r="B373" s="4"/>
      <c r="C373" s="4"/>
      <c r="D373" s="4"/>
      <c r="E373" s="4"/>
    </row>
    <row r="374" spans="1:5" ht="15.75" customHeight="1" x14ac:dyDescent="0.3">
      <c r="A374" s="4"/>
      <c r="B374" s="4"/>
      <c r="C374" s="4"/>
      <c r="D374" s="4"/>
      <c r="E374" s="4"/>
    </row>
    <row r="375" spans="1:5" ht="15.75" customHeight="1" x14ac:dyDescent="0.3">
      <c r="A375" s="4"/>
      <c r="B375" s="4"/>
      <c r="C375" s="4"/>
      <c r="D375" s="4"/>
      <c r="E375" s="4"/>
    </row>
    <row r="376" spans="1:5" ht="15.75" customHeight="1" x14ac:dyDescent="0.3">
      <c r="A376" s="4"/>
      <c r="B376" s="4"/>
      <c r="C376" s="4"/>
      <c r="D376" s="4"/>
      <c r="E376" s="4"/>
    </row>
    <row r="377" spans="1:5" ht="15.75" customHeight="1" x14ac:dyDescent="0.3">
      <c r="A377" s="4"/>
      <c r="B377" s="4"/>
      <c r="C377" s="4"/>
      <c r="D377" s="4"/>
      <c r="E377" s="4"/>
    </row>
    <row r="378" spans="1:5" ht="15.75" customHeight="1" x14ac:dyDescent="0.3">
      <c r="A378" s="4"/>
      <c r="B378" s="4"/>
      <c r="C378" s="4"/>
      <c r="D378" s="4"/>
      <c r="E378" s="4"/>
    </row>
    <row r="379" spans="1:5" ht="15.75" customHeight="1" x14ac:dyDescent="0.3">
      <c r="A379" s="4"/>
      <c r="B379" s="4"/>
      <c r="C379" s="4"/>
      <c r="D379" s="4"/>
      <c r="E379" s="4"/>
    </row>
    <row r="380" spans="1:5" ht="15.75" customHeight="1" x14ac:dyDescent="0.3">
      <c r="A380" s="4"/>
      <c r="B380" s="4"/>
      <c r="C380" s="4"/>
      <c r="D380" s="4"/>
      <c r="E380" s="4"/>
    </row>
    <row r="381" spans="1:5" ht="15.75" customHeight="1" x14ac:dyDescent="0.3">
      <c r="A381" s="4"/>
      <c r="B381" s="4"/>
      <c r="C381" s="4"/>
      <c r="D381" s="4"/>
      <c r="E381" s="4"/>
    </row>
    <row r="382" spans="1:5" ht="15.75" customHeight="1" x14ac:dyDescent="0.3">
      <c r="A382" s="4"/>
      <c r="B382" s="4"/>
      <c r="C382" s="4"/>
      <c r="D382" s="4"/>
      <c r="E382" s="4"/>
    </row>
    <row r="383" spans="1:5" ht="15.75" customHeight="1" x14ac:dyDescent="0.3">
      <c r="A383" s="4"/>
      <c r="B383" s="4"/>
      <c r="C383" s="4"/>
      <c r="D383" s="4"/>
      <c r="E383" s="4"/>
    </row>
    <row r="384" spans="1:5" ht="15.75" customHeight="1" x14ac:dyDescent="0.3">
      <c r="A384" s="4"/>
      <c r="B384" s="4"/>
      <c r="C384" s="4"/>
      <c r="D384" s="4"/>
      <c r="E384" s="4"/>
    </row>
    <row r="385" spans="1:5" ht="15.75" customHeight="1" x14ac:dyDescent="0.3">
      <c r="A385" s="4"/>
      <c r="B385" s="4"/>
      <c r="C385" s="4"/>
      <c r="D385" s="4"/>
      <c r="E385" s="4"/>
    </row>
    <row r="386" spans="1:5" ht="15.75" customHeight="1" x14ac:dyDescent="0.3">
      <c r="A386" s="4"/>
      <c r="B386" s="4"/>
      <c r="C386" s="4"/>
      <c r="D386" s="4"/>
      <c r="E386" s="4"/>
    </row>
    <row r="387" spans="1:5" ht="15.75" customHeight="1" x14ac:dyDescent="0.3">
      <c r="A387" s="4"/>
      <c r="B387" s="4"/>
      <c r="C387" s="4"/>
      <c r="D387" s="4"/>
      <c r="E387" s="4"/>
    </row>
    <row r="388" spans="1:5" ht="15.75" customHeight="1" x14ac:dyDescent="0.3">
      <c r="A388" s="4"/>
      <c r="B388" s="4"/>
      <c r="C388" s="4"/>
      <c r="D388" s="4"/>
      <c r="E388" s="4"/>
    </row>
    <row r="389" spans="1:5" ht="15.75" customHeight="1" x14ac:dyDescent="0.3">
      <c r="A389" s="4"/>
      <c r="B389" s="4"/>
      <c r="C389" s="4"/>
      <c r="D389" s="4"/>
      <c r="E389" s="4"/>
    </row>
    <row r="390" spans="1:5" ht="15.75" customHeight="1" x14ac:dyDescent="0.3">
      <c r="A390" s="4"/>
      <c r="B390" s="4"/>
      <c r="C390" s="4"/>
      <c r="D390" s="4"/>
      <c r="E390" s="4"/>
    </row>
    <row r="391" spans="1:5" ht="15.75" customHeight="1" x14ac:dyDescent="0.3">
      <c r="A391" s="4"/>
      <c r="B391" s="4"/>
      <c r="C391" s="4"/>
      <c r="D391" s="4"/>
      <c r="E391" s="4"/>
    </row>
    <row r="392" spans="1:5" ht="15.75" customHeight="1" x14ac:dyDescent="0.3">
      <c r="A392" s="4"/>
      <c r="B392" s="4"/>
      <c r="C392" s="4"/>
      <c r="D392" s="4"/>
      <c r="E392" s="4"/>
    </row>
    <row r="393" spans="1:5" ht="15.75" customHeight="1" x14ac:dyDescent="0.3">
      <c r="A393" s="4"/>
      <c r="B393" s="4"/>
      <c r="C393" s="4"/>
      <c r="D393" s="4"/>
      <c r="E393" s="4"/>
    </row>
    <row r="394" spans="1:5" ht="15.75" customHeight="1" x14ac:dyDescent="0.3">
      <c r="A394" s="4"/>
      <c r="B394" s="4"/>
      <c r="C394" s="4"/>
      <c r="D394" s="4"/>
      <c r="E394" s="4"/>
    </row>
    <row r="395" spans="1:5" ht="15.75" customHeight="1" x14ac:dyDescent="0.3">
      <c r="A395" s="4"/>
      <c r="B395" s="4"/>
      <c r="C395" s="4"/>
      <c r="D395" s="4"/>
      <c r="E395" s="4"/>
    </row>
    <row r="396" spans="1:5" ht="15.75" customHeight="1" x14ac:dyDescent="0.3">
      <c r="A396" s="4"/>
      <c r="B396" s="4"/>
      <c r="C396" s="4"/>
      <c r="D396" s="4"/>
      <c r="E396" s="4"/>
    </row>
    <row r="397" spans="1:5" ht="15.75" customHeight="1" x14ac:dyDescent="0.3">
      <c r="A397" s="4"/>
      <c r="B397" s="4"/>
      <c r="C397" s="4"/>
      <c r="D397" s="4"/>
      <c r="E397" s="4"/>
    </row>
    <row r="398" spans="1:5" ht="15.75" customHeight="1" x14ac:dyDescent="0.3">
      <c r="A398" s="4"/>
      <c r="B398" s="4"/>
      <c r="C398" s="4"/>
      <c r="D398" s="4"/>
      <c r="E398" s="4"/>
    </row>
    <row r="399" spans="1:5" ht="15.75" customHeight="1" x14ac:dyDescent="0.3">
      <c r="A399" s="4"/>
      <c r="B399" s="4"/>
      <c r="C399" s="4"/>
      <c r="D399" s="4"/>
      <c r="E399" s="4"/>
    </row>
    <row r="400" spans="1:5" ht="15.75" customHeight="1" x14ac:dyDescent="0.3">
      <c r="A400" s="4"/>
      <c r="B400" s="4"/>
      <c r="C400" s="4"/>
      <c r="D400" s="4"/>
      <c r="E400" s="4"/>
    </row>
    <row r="401" spans="1:5" ht="15.75" customHeight="1" x14ac:dyDescent="0.3">
      <c r="A401" s="4"/>
      <c r="B401" s="4"/>
      <c r="C401" s="4"/>
      <c r="D401" s="4"/>
      <c r="E401" s="4"/>
    </row>
    <row r="402" spans="1:5" ht="15.75" customHeight="1" x14ac:dyDescent="0.3">
      <c r="A402" s="4"/>
      <c r="B402" s="4"/>
      <c r="C402" s="4"/>
      <c r="D402" s="4"/>
      <c r="E402" s="4"/>
    </row>
    <row r="403" spans="1:5" ht="15.75" customHeight="1" x14ac:dyDescent="0.3">
      <c r="A403" s="4"/>
      <c r="B403" s="4"/>
      <c r="C403" s="4"/>
      <c r="D403" s="4"/>
      <c r="E403" s="4"/>
    </row>
    <row r="404" spans="1:5" ht="15.75" customHeight="1" x14ac:dyDescent="0.3">
      <c r="A404" s="4"/>
      <c r="B404" s="4"/>
      <c r="C404" s="4"/>
      <c r="D404" s="4"/>
      <c r="E404" s="4"/>
    </row>
    <row r="405" spans="1:5" ht="15.75" customHeight="1" x14ac:dyDescent="0.3">
      <c r="A405" s="4"/>
      <c r="B405" s="4"/>
      <c r="C405" s="4"/>
      <c r="D405" s="4"/>
      <c r="E405" s="4"/>
    </row>
    <row r="406" spans="1:5" ht="15.75" customHeight="1" x14ac:dyDescent="0.3">
      <c r="A406" s="4"/>
      <c r="B406" s="4"/>
      <c r="C406" s="4"/>
      <c r="D406" s="4"/>
      <c r="E406" s="4"/>
    </row>
    <row r="407" spans="1:5" ht="15.75" customHeight="1" x14ac:dyDescent="0.3">
      <c r="A407" s="4"/>
      <c r="B407" s="4"/>
      <c r="C407" s="4"/>
      <c r="D407" s="4"/>
      <c r="E407" s="4"/>
    </row>
    <row r="408" spans="1:5" ht="15.75" customHeight="1" x14ac:dyDescent="0.3">
      <c r="A408" s="4"/>
      <c r="B408" s="4"/>
      <c r="C408" s="4"/>
      <c r="D408" s="4"/>
      <c r="E408" s="4"/>
    </row>
    <row r="409" spans="1:5" ht="15.75" customHeight="1" x14ac:dyDescent="0.3">
      <c r="A409" s="4"/>
      <c r="B409" s="4"/>
      <c r="C409" s="4"/>
      <c r="D409" s="4"/>
      <c r="E409" s="4"/>
    </row>
    <row r="410" spans="1:5" ht="15.75" customHeight="1" x14ac:dyDescent="0.3">
      <c r="A410" s="4"/>
      <c r="B410" s="4"/>
      <c r="C410" s="4"/>
      <c r="D410" s="4"/>
      <c r="E410" s="4"/>
    </row>
    <row r="411" spans="1:5" ht="15.75" customHeight="1" x14ac:dyDescent="0.3">
      <c r="A411" s="4"/>
      <c r="B411" s="4"/>
      <c r="C411" s="4"/>
      <c r="D411" s="4"/>
      <c r="E411" s="4"/>
    </row>
    <row r="412" spans="1:5" ht="15.75" customHeight="1" x14ac:dyDescent="0.3">
      <c r="A412" s="4"/>
      <c r="B412" s="4"/>
      <c r="C412" s="4"/>
      <c r="D412" s="4"/>
      <c r="E412" s="4"/>
    </row>
    <row r="413" spans="1:5" ht="15.75" customHeight="1" x14ac:dyDescent="0.3">
      <c r="A413" s="4"/>
      <c r="B413" s="4"/>
      <c r="C413" s="4"/>
      <c r="D413" s="4"/>
      <c r="E413" s="4"/>
    </row>
    <row r="414" spans="1:5" ht="15.75" customHeight="1" x14ac:dyDescent="0.3">
      <c r="A414" s="4"/>
      <c r="B414" s="4"/>
      <c r="C414" s="4"/>
      <c r="D414" s="4"/>
      <c r="E414" s="4"/>
    </row>
    <row r="415" spans="1:5" ht="15.75" customHeight="1" x14ac:dyDescent="0.3">
      <c r="A415" s="4"/>
      <c r="B415" s="4"/>
      <c r="C415" s="4"/>
      <c r="D415" s="4"/>
      <c r="E415" s="4"/>
    </row>
    <row r="416" spans="1:5" ht="15.75" customHeight="1" x14ac:dyDescent="0.3">
      <c r="A416" s="4"/>
      <c r="B416" s="4"/>
      <c r="C416" s="4"/>
      <c r="D416" s="4"/>
      <c r="E416" s="4"/>
    </row>
    <row r="417" spans="1:5" ht="15.75" customHeight="1" x14ac:dyDescent="0.3">
      <c r="A417" s="4"/>
      <c r="B417" s="4"/>
      <c r="C417" s="4"/>
      <c r="D417" s="4"/>
      <c r="E417" s="4"/>
    </row>
    <row r="418" spans="1:5" ht="15.75" customHeight="1" x14ac:dyDescent="0.3">
      <c r="A418" s="4"/>
      <c r="B418" s="4"/>
      <c r="C418" s="4"/>
      <c r="D418" s="4"/>
      <c r="E418" s="4"/>
    </row>
    <row r="419" spans="1:5" ht="15.75" customHeight="1" x14ac:dyDescent="0.3">
      <c r="A419" s="4"/>
      <c r="B419" s="4"/>
      <c r="C419" s="4"/>
      <c r="D419" s="4"/>
      <c r="E419" s="4"/>
    </row>
    <row r="420" spans="1:5" ht="15.75" customHeight="1" x14ac:dyDescent="0.3">
      <c r="A420" s="4"/>
      <c r="B420" s="4"/>
      <c r="C420" s="4"/>
      <c r="D420" s="4"/>
      <c r="E420" s="4"/>
    </row>
    <row r="421" spans="1:5" ht="15.75" customHeight="1" x14ac:dyDescent="0.3">
      <c r="A421" s="4"/>
      <c r="B421" s="4"/>
      <c r="C421" s="4"/>
      <c r="D421" s="4"/>
      <c r="E421" s="4"/>
    </row>
    <row r="422" spans="1:5" ht="15.75" customHeight="1" x14ac:dyDescent="0.3">
      <c r="A422" s="4"/>
      <c r="B422" s="4"/>
      <c r="C422" s="4"/>
      <c r="D422" s="4"/>
      <c r="E422" s="4"/>
    </row>
    <row r="423" spans="1:5" ht="15.75" customHeight="1" x14ac:dyDescent="0.3">
      <c r="A423" s="4"/>
      <c r="B423" s="4"/>
      <c r="C423" s="4"/>
      <c r="D423" s="4"/>
      <c r="E423" s="4"/>
    </row>
    <row r="424" spans="1:5" ht="15.75" customHeight="1" x14ac:dyDescent="0.3">
      <c r="A424" s="4"/>
      <c r="B424" s="4"/>
      <c r="C424" s="4"/>
      <c r="D424" s="4"/>
      <c r="E424" s="4"/>
    </row>
    <row r="425" spans="1:5" ht="15.75" customHeight="1" x14ac:dyDescent="0.3">
      <c r="A425" s="4"/>
      <c r="B425" s="4"/>
      <c r="C425" s="4"/>
      <c r="D425" s="4"/>
      <c r="E425" s="4"/>
    </row>
    <row r="426" spans="1:5" ht="15.75" customHeight="1" x14ac:dyDescent="0.3">
      <c r="A426" s="4"/>
      <c r="B426" s="4"/>
      <c r="C426" s="4"/>
      <c r="D426" s="4"/>
      <c r="E426" s="4"/>
    </row>
    <row r="427" spans="1:5" ht="15.75" customHeight="1" x14ac:dyDescent="0.3">
      <c r="A427" s="4"/>
      <c r="B427" s="4"/>
      <c r="C427" s="4"/>
      <c r="D427" s="4"/>
      <c r="E427" s="4"/>
    </row>
    <row r="428" spans="1:5" ht="15.75" customHeight="1" x14ac:dyDescent="0.3">
      <c r="A428" s="4"/>
      <c r="B428" s="4"/>
      <c r="C428" s="4"/>
      <c r="D428" s="4"/>
      <c r="E428" s="4"/>
    </row>
    <row r="429" spans="1:5" ht="15.75" customHeight="1" x14ac:dyDescent="0.3">
      <c r="A429" s="4"/>
      <c r="B429" s="4"/>
      <c r="C429" s="4"/>
      <c r="D429" s="4"/>
      <c r="E429" s="4"/>
    </row>
    <row r="430" spans="1:5" ht="15.75" customHeight="1" x14ac:dyDescent="0.3">
      <c r="A430" s="4"/>
      <c r="B430" s="4"/>
      <c r="C430" s="4"/>
      <c r="D430" s="4"/>
      <c r="E430" s="4"/>
    </row>
    <row r="431" spans="1:5" ht="15.75" customHeight="1" x14ac:dyDescent="0.3">
      <c r="A431" s="4"/>
      <c r="B431" s="4"/>
      <c r="C431" s="4"/>
      <c r="D431" s="4"/>
      <c r="E431" s="4"/>
    </row>
    <row r="432" spans="1:5" ht="15.75" customHeight="1" x14ac:dyDescent="0.3">
      <c r="A432" s="4"/>
      <c r="B432" s="4"/>
      <c r="C432" s="4"/>
      <c r="D432" s="4"/>
      <c r="E432" s="4"/>
    </row>
    <row r="433" spans="1:5" ht="15.75" customHeight="1" x14ac:dyDescent="0.3">
      <c r="A433" s="4"/>
      <c r="B433" s="4"/>
      <c r="C433" s="4"/>
      <c r="D433" s="4"/>
      <c r="E433" s="4"/>
    </row>
    <row r="434" spans="1:5" ht="15.75" customHeight="1" x14ac:dyDescent="0.3">
      <c r="A434" s="4"/>
      <c r="B434" s="4"/>
      <c r="C434" s="4"/>
      <c r="D434" s="4"/>
      <c r="E434" s="4"/>
    </row>
    <row r="435" spans="1:5" ht="15.75" customHeight="1" x14ac:dyDescent="0.3">
      <c r="A435" s="4"/>
      <c r="B435" s="4"/>
      <c r="C435" s="4"/>
      <c r="D435" s="4"/>
      <c r="E435" s="4"/>
    </row>
    <row r="436" spans="1:5" ht="15.75" customHeight="1" x14ac:dyDescent="0.3">
      <c r="A436" s="4"/>
      <c r="B436" s="4"/>
      <c r="C436" s="4"/>
      <c r="D436" s="4"/>
      <c r="E436" s="4"/>
    </row>
    <row r="437" spans="1:5" ht="15.75" customHeight="1" x14ac:dyDescent="0.3">
      <c r="A437" s="4"/>
      <c r="B437" s="4"/>
      <c r="C437" s="4"/>
      <c r="D437" s="4"/>
      <c r="E437" s="4"/>
    </row>
    <row r="438" spans="1:5" ht="15.75" customHeight="1" x14ac:dyDescent="0.3">
      <c r="A438" s="4"/>
      <c r="B438" s="4"/>
      <c r="C438" s="4"/>
      <c r="D438" s="4"/>
      <c r="E438" s="4"/>
    </row>
    <row r="439" spans="1:5" ht="15.75" customHeight="1" x14ac:dyDescent="0.3">
      <c r="A439" s="4"/>
      <c r="B439" s="4"/>
      <c r="C439" s="4"/>
      <c r="D439" s="4"/>
      <c r="E439" s="4"/>
    </row>
    <row r="440" spans="1:5" ht="15.75" customHeight="1" x14ac:dyDescent="0.3">
      <c r="A440" s="4"/>
      <c r="B440" s="4"/>
      <c r="C440" s="4"/>
      <c r="D440" s="4"/>
      <c r="E440" s="4"/>
    </row>
    <row r="441" spans="1:5" ht="15.75" customHeight="1" x14ac:dyDescent="0.3">
      <c r="A441" s="4"/>
      <c r="B441" s="4"/>
      <c r="C441" s="4"/>
      <c r="D441" s="4"/>
      <c r="E441" s="4"/>
    </row>
    <row r="442" spans="1:5" ht="15.75" customHeight="1" x14ac:dyDescent="0.3">
      <c r="A442" s="4"/>
      <c r="B442" s="4"/>
      <c r="C442" s="4"/>
      <c r="D442" s="4"/>
      <c r="E442" s="4"/>
    </row>
    <row r="443" spans="1:5" ht="15.75" customHeight="1" x14ac:dyDescent="0.3">
      <c r="A443" s="4"/>
      <c r="B443" s="4"/>
      <c r="C443" s="4"/>
      <c r="D443" s="4"/>
      <c r="E443" s="4"/>
    </row>
    <row r="444" spans="1:5" ht="15.75" customHeight="1" x14ac:dyDescent="0.3">
      <c r="A444" s="4"/>
      <c r="B444" s="4"/>
      <c r="C444" s="4"/>
      <c r="D444" s="4"/>
      <c r="E444" s="4"/>
    </row>
    <row r="445" spans="1:5" ht="15.75" customHeight="1" x14ac:dyDescent="0.3">
      <c r="A445" s="4"/>
      <c r="B445" s="4"/>
      <c r="C445" s="4"/>
      <c r="D445" s="4"/>
      <c r="E445" s="4"/>
    </row>
    <row r="446" spans="1:5" ht="15.75" customHeight="1" x14ac:dyDescent="0.3">
      <c r="A446" s="4"/>
      <c r="B446" s="4"/>
      <c r="C446" s="4"/>
      <c r="D446" s="4"/>
      <c r="E446" s="4"/>
    </row>
    <row r="447" spans="1:5" ht="15.75" customHeight="1" x14ac:dyDescent="0.3">
      <c r="A447" s="4"/>
      <c r="B447" s="4"/>
      <c r="C447" s="4"/>
      <c r="D447" s="4"/>
      <c r="E447" s="4"/>
    </row>
    <row r="448" spans="1:5" ht="15.75" customHeight="1" x14ac:dyDescent="0.3">
      <c r="A448" s="4"/>
      <c r="B448" s="4"/>
      <c r="C448" s="4"/>
      <c r="D448" s="4"/>
      <c r="E448" s="4"/>
    </row>
    <row r="449" spans="1:5" ht="15.75" customHeight="1" x14ac:dyDescent="0.3">
      <c r="A449" s="4"/>
      <c r="B449" s="4"/>
      <c r="C449" s="4"/>
      <c r="D449" s="4"/>
      <c r="E449" s="4"/>
    </row>
    <row r="450" spans="1:5" ht="15.75" customHeight="1" x14ac:dyDescent="0.3">
      <c r="A450" s="4"/>
      <c r="B450" s="4"/>
      <c r="C450" s="4"/>
      <c r="D450" s="4"/>
      <c r="E450" s="4"/>
    </row>
    <row r="451" spans="1:5" ht="15.75" customHeight="1" x14ac:dyDescent="0.3">
      <c r="A451" s="4"/>
      <c r="B451" s="4"/>
      <c r="C451" s="4"/>
      <c r="D451" s="4"/>
      <c r="E451" s="4"/>
    </row>
    <row r="452" spans="1:5" ht="15.75" customHeight="1" x14ac:dyDescent="0.3">
      <c r="A452" s="4"/>
      <c r="B452" s="4"/>
      <c r="C452" s="4"/>
      <c r="D452" s="4"/>
      <c r="E452" s="4"/>
    </row>
    <row r="453" spans="1:5" ht="15.75" customHeight="1" x14ac:dyDescent="0.3">
      <c r="A453" s="4"/>
      <c r="B453" s="4"/>
      <c r="C453" s="4"/>
      <c r="D453" s="4"/>
      <c r="E453" s="4"/>
    </row>
    <row r="454" spans="1:5" ht="15.75" customHeight="1" x14ac:dyDescent="0.3">
      <c r="A454" s="4"/>
      <c r="B454" s="4"/>
      <c r="C454" s="4"/>
      <c r="D454" s="4"/>
      <c r="E454" s="4"/>
    </row>
    <row r="455" spans="1:5" ht="15.75" customHeight="1" x14ac:dyDescent="0.3">
      <c r="A455" s="4"/>
      <c r="B455" s="4"/>
      <c r="C455" s="4"/>
      <c r="D455" s="4"/>
      <c r="E455" s="4"/>
    </row>
    <row r="456" spans="1:5" ht="15.75" customHeight="1" x14ac:dyDescent="0.3">
      <c r="A456" s="4"/>
      <c r="B456" s="4"/>
      <c r="C456" s="4"/>
      <c r="D456" s="4"/>
      <c r="E456" s="4"/>
    </row>
    <row r="457" spans="1:5" ht="15.75" customHeight="1" x14ac:dyDescent="0.3">
      <c r="A457" s="4"/>
      <c r="B457" s="4"/>
      <c r="C457" s="4"/>
      <c r="D457" s="4"/>
      <c r="E457" s="4"/>
    </row>
    <row r="458" spans="1:5" ht="15.75" customHeight="1" x14ac:dyDescent="0.3">
      <c r="A458" s="4"/>
      <c r="B458" s="4"/>
      <c r="C458" s="4"/>
      <c r="D458" s="4"/>
      <c r="E458" s="4"/>
    </row>
    <row r="459" spans="1:5" ht="15.75" customHeight="1" x14ac:dyDescent="0.3">
      <c r="A459" s="4"/>
      <c r="B459" s="4"/>
      <c r="C459" s="4"/>
      <c r="D459" s="4"/>
      <c r="E459" s="4"/>
    </row>
    <row r="460" spans="1:5" ht="15.75" customHeight="1" x14ac:dyDescent="0.3">
      <c r="A460" s="4"/>
      <c r="B460" s="4"/>
      <c r="C460" s="4"/>
      <c r="D460" s="4"/>
      <c r="E460" s="4"/>
    </row>
    <row r="461" spans="1:5" ht="15.75" customHeight="1" x14ac:dyDescent="0.3">
      <c r="A461" s="4"/>
      <c r="B461" s="4"/>
      <c r="C461" s="4"/>
      <c r="D461" s="4"/>
      <c r="E461" s="4"/>
    </row>
    <row r="462" spans="1:5" ht="15.75" customHeight="1" x14ac:dyDescent="0.3">
      <c r="A462" s="4"/>
      <c r="B462" s="4"/>
      <c r="C462" s="4"/>
      <c r="D462" s="4"/>
      <c r="E462" s="4"/>
    </row>
    <row r="463" spans="1:5" ht="15.75" customHeight="1" x14ac:dyDescent="0.3">
      <c r="A463" s="4"/>
      <c r="B463" s="4"/>
      <c r="C463" s="4"/>
      <c r="D463" s="4"/>
      <c r="E463" s="4"/>
    </row>
    <row r="464" spans="1:5" ht="15.75" customHeight="1" x14ac:dyDescent="0.3">
      <c r="A464" s="4"/>
      <c r="B464" s="4"/>
      <c r="C464" s="4"/>
      <c r="D464" s="4"/>
      <c r="E464" s="4"/>
    </row>
    <row r="465" spans="1:5" ht="15.75" customHeight="1" x14ac:dyDescent="0.3">
      <c r="A465" s="4"/>
      <c r="B465" s="4"/>
      <c r="C465" s="4"/>
      <c r="D465" s="4"/>
      <c r="E465" s="4"/>
    </row>
    <row r="466" spans="1:5" ht="15.75" customHeight="1" x14ac:dyDescent="0.3">
      <c r="A466" s="4"/>
      <c r="B466" s="4"/>
      <c r="C466" s="4"/>
      <c r="D466" s="4"/>
      <c r="E466" s="4"/>
    </row>
    <row r="467" spans="1:5" ht="15.75" customHeight="1" x14ac:dyDescent="0.3">
      <c r="A467" s="4"/>
      <c r="B467" s="4"/>
      <c r="C467" s="4"/>
      <c r="D467" s="4"/>
      <c r="E467" s="4"/>
    </row>
    <row r="468" spans="1:5" ht="15.75" customHeight="1" x14ac:dyDescent="0.3">
      <c r="A468" s="4"/>
      <c r="B468" s="4"/>
      <c r="C468" s="4"/>
      <c r="D468" s="4"/>
      <c r="E468" s="4"/>
    </row>
    <row r="469" spans="1:5" ht="15.75" customHeight="1" x14ac:dyDescent="0.3">
      <c r="A469" s="4"/>
      <c r="B469" s="4"/>
      <c r="C469" s="4"/>
      <c r="D469" s="4"/>
      <c r="E469" s="4"/>
    </row>
    <row r="470" spans="1:5" ht="15.75" customHeight="1" x14ac:dyDescent="0.3">
      <c r="A470" s="4"/>
      <c r="B470" s="4"/>
      <c r="C470" s="4"/>
      <c r="D470" s="4"/>
      <c r="E470" s="4"/>
    </row>
    <row r="471" spans="1:5" ht="15.75" customHeight="1" x14ac:dyDescent="0.3">
      <c r="A471" s="4"/>
      <c r="B471" s="4"/>
      <c r="C471" s="4"/>
      <c r="D471" s="4"/>
      <c r="E471" s="4"/>
    </row>
    <row r="472" spans="1:5" ht="15.75" customHeight="1" x14ac:dyDescent="0.3">
      <c r="A472" s="4"/>
      <c r="B472" s="4"/>
      <c r="C472" s="4"/>
      <c r="D472" s="4"/>
      <c r="E472" s="4"/>
    </row>
    <row r="473" spans="1:5" ht="15.75" customHeight="1" x14ac:dyDescent="0.3">
      <c r="A473" s="4"/>
      <c r="B473" s="4"/>
      <c r="C473" s="4"/>
      <c r="D473" s="4"/>
      <c r="E473" s="4"/>
    </row>
    <row r="474" spans="1:5" ht="15.75" customHeight="1" x14ac:dyDescent="0.3">
      <c r="A474" s="4"/>
      <c r="B474" s="4"/>
      <c r="C474" s="4"/>
      <c r="D474" s="4"/>
      <c r="E474" s="4"/>
    </row>
    <row r="475" spans="1:5" ht="15.75" customHeight="1" x14ac:dyDescent="0.3">
      <c r="A475" s="4"/>
      <c r="B475" s="4"/>
      <c r="C475" s="4"/>
      <c r="D475" s="4"/>
      <c r="E475" s="4"/>
    </row>
    <row r="476" spans="1:5" ht="15.75" customHeight="1" x14ac:dyDescent="0.3">
      <c r="A476" s="4"/>
      <c r="B476" s="4"/>
      <c r="C476" s="4"/>
      <c r="D476" s="4"/>
      <c r="E476" s="4"/>
    </row>
    <row r="477" spans="1:5" ht="15.75" customHeight="1" x14ac:dyDescent="0.3">
      <c r="A477" s="4"/>
      <c r="B477" s="4"/>
      <c r="C477" s="4"/>
      <c r="D477" s="4"/>
      <c r="E477" s="4"/>
    </row>
    <row r="478" spans="1:5" ht="15.75" customHeight="1" x14ac:dyDescent="0.3">
      <c r="A478" s="4"/>
      <c r="B478" s="4"/>
      <c r="C478" s="4"/>
      <c r="D478" s="4"/>
      <c r="E478" s="4"/>
    </row>
    <row r="479" spans="1:5" ht="15.75" customHeight="1" x14ac:dyDescent="0.3">
      <c r="A479" s="4"/>
      <c r="B479" s="4"/>
      <c r="C479" s="4"/>
      <c r="D479" s="4"/>
      <c r="E479" s="4"/>
    </row>
    <row r="480" spans="1:5" ht="15.75" customHeight="1" x14ac:dyDescent="0.3">
      <c r="A480" s="4"/>
      <c r="B480" s="4"/>
      <c r="C480" s="4"/>
      <c r="D480" s="4"/>
      <c r="E480" s="4"/>
    </row>
    <row r="481" spans="1:5" ht="15.75" customHeight="1" x14ac:dyDescent="0.3">
      <c r="A481" s="4"/>
      <c r="B481" s="4"/>
      <c r="C481" s="4"/>
      <c r="D481" s="4"/>
      <c r="E481" s="4"/>
    </row>
    <row r="482" spans="1:5" ht="15.75" customHeight="1" x14ac:dyDescent="0.3">
      <c r="A482" s="4"/>
      <c r="B482" s="4"/>
      <c r="C482" s="4"/>
      <c r="D482" s="4"/>
      <c r="E482" s="4"/>
    </row>
    <row r="483" spans="1:5" ht="15.75" customHeight="1" x14ac:dyDescent="0.3">
      <c r="A483" s="4"/>
      <c r="B483" s="4"/>
      <c r="C483" s="4"/>
      <c r="D483" s="4"/>
      <c r="E483" s="4"/>
    </row>
    <row r="484" spans="1:5" ht="15.75" customHeight="1" x14ac:dyDescent="0.3">
      <c r="A484" s="4"/>
      <c r="B484" s="4"/>
      <c r="C484" s="4"/>
      <c r="D484" s="4"/>
      <c r="E484" s="4"/>
    </row>
    <row r="485" spans="1:5" ht="15.75" customHeight="1" x14ac:dyDescent="0.3">
      <c r="A485" s="4"/>
      <c r="B485" s="4"/>
      <c r="C485" s="4"/>
      <c r="D485" s="4"/>
      <c r="E485" s="4"/>
    </row>
    <row r="486" spans="1:5" ht="15.75" customHeight="1" x14ac:dyDescent="0.3">
      <c r="A486" s="4"/>
      <c r="B486" s="4"/>
      <c r="C486" s="4"/>
      <c r="D486" s="4"/>
      <c r="E486" s="4"/>
    </row>
    <row r="487" spans="1:5" ht="15.75" customHeight="1" x14ac:dyDescent="0.3">
      <c r="A487" s="4"/>
      <c r="B487" s="4"/>
      <c r="C487" s="4"/>
      <c r="D487" s="4"/>
      <c r="E487" s="4"/>
    </row>
    <row r="488" spans="1:5" ht="15.75" customHeight="1" x14ac:dyDescent="0.3">
      <c r="A488" s="4"/>
      <c r="B488" s="4"/>
      <c r="C488" s="4"/>
      <c r="D488" s="4"/>
      <c r="E488" s="4"/>
    </row>
    <row r="489" spans="1:5" ht="15.75" customHeight="1" x14ac:dyDescent="0.3">
      <c r="A489" s="4"/>
      <c r="B489" s="4"/>
      <c r="C489" s="4"/>
      <c r="D489" s="4"/>
      <c r="E489" s="4"/>
    </row>
    <row r="490" spans="1:5" ht="15.75" customHeight="1" x14ac:dyDescent="0.3">
      <c r="A490" s="4"/>
      <c r="B490" s="4"/>
      <c r="C490" s="4"/>
      <c r="D490" s="4"/>
      <c r="E490" s="4"/>
    </row>
    <row r="491" spans="1:5" ht="15.75" customHeight="1" x14ac:dyDescent="0.3">
      <c r="A491" s="4"/>
      <c r="B491" s="4"/>
      <c r="C491" s="4"/>
      <c r="D491" s="4"/>
      <c r="E491" s="4"/>
    </row>
    <row r="492" spans="1:5" ht="15.75" customHeight="1" x14ac:dyDescent="0.3">
      <c r="A492" s="4"/>
      <c r="B492" s="4"/>
      <c r="C492" s="4"/>
      <c r="D492" s="4"/>
      <c r="E492" s="4"/>
    </row>
    <row r="493" spans="1:5" ht="15.75" customHeight="1" x14ac:dyDescent="0.3">
      <c r="A493" s="4"/>
      <c r="B493" s="4"/>
      <c r="C493" s="4"/>
      <c r="D493" s="4"/>
      <c r="E493" s="4"/>
    </row>
    <row r="494" spans="1:5" ht="15.75" customHeight="1" x14ac:dyDescent="0.3">
      <c r="A494" s="4"/>
      <c r="B494" s="4"/>
      <c r="C494" s="4"/>
      <c r="D494" s="4"/>
      <c r="E494" s="4"/>
    </row>
    <row r="495" spans="1:5" ht="15.75" customHeight="1" x14ac:dyDescent="0.3">
      <c r="A495" s="4"/>
      <c r="B495" s="4"/>
      <c r="C495" s="4"/>
      <c r="D495" s="4"/>
      <c r="E495" s="4"/>
    </row>
    <row r="496" spans="1:5" ht="15.75" customHeight="1" x14ac:dyDescent="0.3">
      <c r="A496" s="4"/>
      <c r="B496" s="4"/>
      <c r="C496" s="4"/>
      <c r="D496" s="4"/>
      <c r="E496" s="4"/>
    </row>
    <row r="497" spans="1:5" ht="15.75" customHeight="1" x14ac:dyDescent="0.3">
      <c r="A497" s="4"/>
      <c r="B497" s="4"/>
      <c r="C497" s="4"/>
      <c r="D497" s="4"/>
      <c r="E497" s="4"/>
    </row>
    <row r="498" spans="1:5" ht="15.75" customHeight="1" x14ac:dyDescent="0.3">
      <c r="A498" s="4"/>
      <c r="B498" s="4"/>
      <c r="C498" s="4"/>
      <c r="D498" s="4"/>
      <c r="E498" s="4"/>
    </row>
    <row r="499" spans="1:5" ht="15.75" customHeight="1" x14ac:dyDescent="0.3">
      <c r="A499" s="4"/>
      <c r="B499" s="4"/>
      <c r="C499" s="4"/>
      <c r="D499" s="4"/>
      <c r="E499" s="4"/>
    </row>
    <row r="500" spans="1:5" ht="15.75" customHeight="1" x14ac:dyDescent="0.3">
      <c r="A500" s="4"/>
      <c r="B500" s="4"/>
      <c r="C500" s="4"/>
      <c r="D500" s="4"/>
      <c r="E500" s="4"/>
    </row>
    <row r="501" spans="1:5" ht="15.75" customHeight="1" x14ac:dyDescent="0.3">
      <c r="A501" s="4"/>
      <c r="B501" s="4"/>
      <c r="C501" s="4"/>
      <c r="D501" s="4"/>
      <c r="E501" s="4"/>
    </row>
    <row r="502" spans="1:5" ht="15.75" customHeight="1" x14ac:dyDescent="0.3">
      <c r="A502" s="4"/>
      <c r="B502" s="4"/>
      <c r="C502" s="4"/>
      <c r="D502" s="4"/>
      <c r="E502" s="4"/>
    </row>
    <row r="503" spans="1:5" ht="15.75" customHeight="1" x14ac:dyDescent="0.3">
      <c r="A503" s="4"/>
      <c r="B503" s="4"/>
      <c r="C503" s="4"/>
      <c r="D503" s="4"/>
      <c r="E503" s="4"/>
    </row>
    <row r="504" spans="1:5" ht="15.75" customHeight="1" x14ac:dyDescent="0.3">
      <c r="A504" s="4"/>
      <c r="B504" s="4"/>
      <c r="C504" s="4"/>
      <c r="D504" s="4"/>
      <c r="E504" s="4"/>
    </row>
    <row r="505" spans="1:5" ht="15.75" customHeight="1" x14ac:dyDescent="0.3">
      <c r="A505" s="4"/>
      <c r="B505" s="4"/>
      <c r="C505" s="4"/>
      <c r="D505" s="4"/>
      <c r="E505" s="4"/>
    </row>
    <row r="506" spans="1:5" ht="15.75" customHeight="1" x14ac:dyDescent="0.3">
      <c r="A506" s="4"/>
      <c r="B506" s="4"/>
      <c r="C506" s="4"/>
      <c r="D506" s="4"/>
      <c r="E506" s="4"/>
    </row>
    <row r="507" spans="1:5" ht="15.75" customHeight="1" x14ac:dyDescent="0.3">
      <c r="A507" s="4"/>
      <c r="B507" s="4"/>
      <c r="C507" s="4"/>
      <c r="D507" s="4"/>
      <c r="E507" s="4"/>
    </row>
    <row r="508" spans="1:5" ht="15.75" customHeight="1" x14ac:dyDescent="0.3">
      <c r="A508" s="4"/>
      <c r="B508" s="4"/>
      <c r="C508" s="4"/>
      <c r="D508" s="4"/>
      <c r="E508" s="4"/>
    </row>
    <row r="509" spans="1:5" ht="15.75" customHeight="1" x14ac:dyDescent="0.3">
      <c r="A509" s="4"/>
      <c r="B509" s="4"/>
      <c r="C509" s="4"/>
      <c r="D509" s="4"/>
      <c r="E509" s="4"/>
    </row>
    <row r="510" spans="1:5" ht="15.75" customHeight="1" x14ac:dyDescent="0.3">
      <c r="A510" s="4"/>
      <c r="B510" s="4"/>
      <c r="C510" s="4"/>
      <c r="D510" s="4"/>
      <c r="E510" s="4"/>
    </row>
    <row r="511" spans="1:5" ht="15.75" customHeight="1" x14ac:dyDescent="0.3">
      <c r="A511" s="4"/>
      <c r="B511" s="4"/>
      <c r="C511" s="4"/>
      <c r="D511" s="4"/>
      <c r="E511" s="4"/>
    </row>
    <row r="512" spans="1:5" ht="15.75" customHeight="1" x14ac:dyDescent="0.3">
      <c r="A512" s="4"/>
      <c r="B512" s="4"/>
      <c r="C512" s="4"/>
      <c r="D512" s="4"/>
      <c r="E512" s="4"/>
    </row>
    <row r="513" spans="1:5" ht="15.75" customHeight="1" x14ac:dyDescent="0.3">
      <c r="A513" s="4"/>
      <c r="B513" s="4"/>
      <c r="C513" s="4"/>
      <c r="D513" s="4"/>
      <c r="E513" s="4"/>
    </row>
    <row r="514" spans="1:5" ht="15.75" customHeight="1" x14ac:dyDescent="0.3">
      <c r="A514" s="4"/>
      <c r="B514" s="4"/>
      <c r="C514" s="4"/>
      <c r="D514" s="4"/>
      <c r="E514" s="4"/>
    </row>
    <row r="515" spans="1:5" ht="15.75" customHeight="1" x14ac:dyDescent="0.3">
      <c r="A515" s="4"/>
      <c r="B515" s="4"/>
      <c r="C515" s="4"/>
      <c r="D515" s="4"/>
      <c r="E515" s="4"/>
    </row>
    <row r="516" spans="1:5" ht="15.75" customHeight="1" x14ac:dyDescent="0.3">
      <c r="A516" s="4"/>
      <c r="B516" s="4"/>
      <c r="C516" s="4"/>
      <c r="D516" s="4"/>
      <c r="E516" s="4"/>
    </row>
    <row r="517" spans="1:5" ht="15.75" customHeight="1" x14ac:dyDescent="0.3">
      <c r="A517" s="4"/>
      <c r="B517" s="4"/>
      <c r="C517" s="4"/>
      <c r="D517" s="4"/>
      <c r="E517" s="4"/>
    </row>
    <row r="518" spans="1:5" ht="15.75" customHeight="1" x14ac:dyDescent="0.3">
      <c r="A518" s="4"/>
      <c r="B518" s="4"/>
      <c r="C518" s="4"/>
      <c r="D518" s="4"/>
      <c r="E518" s="4"/>
    </row>
    <row r="519" spans="1:5" ht="15.75" customHeight="1" x14ac:dyDescent="0.3">
      <c r="A519" s="4"/>
      <c r="B519" s="4"/>
      <c r="C519" s="4"/>
      <c r="D519" s="4"/>
      <c r="E519" s="4"/>
    </row>
    <row r="520" spans="1:5" ht="15.75" customHeight="1" x14ac:dyDescent="0.3">
      <c r="A520" s="4"/>
      <c r="B520" s="4"/>
      <c r="C520" s="4"/>
      <c r="D520" s="4"/>
      <c r="E520" s="4"/>
    </row>
    <row r="521" spans="1:5" ht="15.75" customHeight="1" x14ac:dyDescent="0.3">
      <c r="A521" s="4"/>
      <c r="B521" s="4"/>
      <c r="C521" s="4"/>
      <c r="D521" s="4"/>
      <c r="E521" s="4"/>
    </row>
    <row r="522" spans="1:5" ht="15.75" customHeight="1" x14ac:dyDescent="0.3">
      <c r="A522" s="4"/>
      <c r="B522" s="4"/>
      <c r="C522" s="4"/>
      <c r="D522" s="4"/>
      <c r="E522" s="4"/>
    </row>
    <row r="523" spans="1:5" ht="15.75" customHeight="1" x14ac:dyDescent="0.3">
      <c r="A523" s="4"/>
      <c r="B523" s="4"/>
      <c r="C523" s="4"/>
      <c r="D523" s="4"/>
      <c r="E523" s="4"/>
    </row>
    <row r="524" spans="1:5" ht="15.75" customHeight="1" x14ac:dyDescent="0.3">
      <c r="A524" s="4"/>
      <c r="B524" s="4"/>
      <c r="C524" s="4"/>
      <c r="D524" s="4"/>
      <c r="E524" s="4"/>
    </row>
    <row r="525" spans="1:5" ht="15.75" customHeight="1" x14ac:dyDescent="0.3">
      <c r="A525" s="4"/>
      <c r="B525" s="4"/>
      <c r="C525" s="4"/>
      <c r="D525" s="4"/>
      <c r="E525" s="4"/>
    </row>
    <row r="526" spans="1:5" ht="15.75" customHeight="1" x14ac:dyDescent="0.3">
      <c r="A526" s="4"/>
      <c r="B526" s="4"/>
      <c r="C526" s="4"/>
      <c r="D526" s="4"/>
      <c r="E526" s="4"/>
    </row>
    <row r="527" spans="1:5" ht="15.75" customHeight="1" x14ac:dyDescent="0.3">
      <c r="A527" s="4"/>
      <c r="B527" s="4"/>
      <c r="C527" s="4"/>
      <c r="D527" s="4"/>
      <c r="E527" s="4"/>
    </row>
    <row r="528" spans="1:5" ht="15.75" customHeight="1" x14ac:dyDescent="0.3">
      <c r="A528" s="4"/>
      <c r="B528" s="4"/>
      <c r="C528" s="4"/>
      <c r="D528" s="4"/>
      <c r="E528" s="4"/>
    </row>
    <row r="529" spans="1:5" ht="15.75" customHeight="1" x14ac:dyDescent="0.3">
      <c r="A529" s="4"/>
      <c r="B529" s="4"/>
      <c r="C529" s="4"/>
      <c r="D529" s="4"/>
      <c r="E529" s="4"/>
    </row>
    <row r="530" spans="1:5" ht="15.75" customHeight="1" x14ac:dyDescent="0.3">
      <c r="A530" s="4"/>
      <c r="B530" s="4"/>
      <c r="C530" s="4"/>
      <c r="D530" s="4"/>
      <c r="E530" s="4"/>
    </row>
    <row r="531" spans="1:5" ht="15.75" customHeight="1" x14ac:dyDescent="0.3">
      <c r="A531" s="4"/>
      <c r="B531" s="4"/>
      <c r="C531" s="4"/>
      <c r="D531" s="4"/>
      <c r="E531" s="4"/>
    </row>
    <row r="532" spans="1:5" ht="15.75" customHeight="1" x14ac:dyDescent="0.3">
      <c r="A532" s="4"/>
      <c r="B532" s="4"/>
      <c r="C532" s="4"/>
      <c r="D532" s="4"/>
      <c r="E532" s="4"/>
    </row>
    <row r="533" spans="1:5" ht="15.75" customHeight="1" x14ac:dyDescent="0.3">
      <c r="A533" s="4"/>
      <c r="B533" s="4"/>
      <c r="C533" s="4"/>
      <c r="D533" s="4"/>
      <c r="E533" s="4"/>
    </row>
    <row r="534" spans="1:5" ht="15.75" customHeight="1" x14ac:dyDescent="0.3">
      <c r="A534" s="4"/>
      <c r="B534" s="4"/>
      <c r="C534" s="4"/>
      <c r="D534" s="4"/>
      <c r="E534" s="4"/>
    </row>
    <row r="535" spans="1:5" ht="15.75" customHeight="1" x14ac:dyDescent="0.3">
      <c r="A535" s="4"/>
      <c r="B535" s="4"/>
      <c r="C535" s="4"/>
      <c r="D535" s="4"/>
      <c r="E535" s="4"/>
    </row>
    <row r="536" spans="1:5" ht="15.75" customHeight="1" x14ac:dyDescent="0.3">
      <c r="A536" s="4"/>
      <c r="B536" s="4"/>
      <c r="C536" s="4"/>
      <c r="D536" s="4"/>
      <c r="E536" s="4"/>
    </row>
    <row r="537" spans="1:5" ht="15.75" customHeight="1" x14ac:dyDescent="0.3">
      <c r="A537" s="4"/>
      <c r="B537" s="4"/>
      <c r="C537" s="4"/>
      <c r="D537" s="4"/>
      <c r="E537" s="4"/>
    </row>
    <row r="538" spans="1:5" ht="15.75" customHeight="1" x14ac:dyDescent="0.3">
      <c r="A538" s="4"/>
      <c r="B538" s="4"/>
      <c r="C538" s="4"/>
      <c r="D538" s="4"/>
      <c r="E538" s="4"/>
    </row>
    <row r="539" spans="1:5" ht="15.75" customHeight="1" x14ac:dyDescent="0.3">
      <c r="A539" s="4"/>
      <c r="B539" s="4"/>
      <c r="C539" s="4"/>
      <c r="D539" s="4"/>
      <c r="E539" s="4"/>
    </row>
    <row r="540" spans="1:5" ht="15.75" customHeight="1" x14ac:dyDescent="0.3">
      <c r="A540" s="4"/>
      <c r="B540" s="4"/>
      <c r="C540" s="4"/>
      <c r="D540" s="4"/>
      <c r="E540" s="4"/>
    </row>
    <row r="541" spans="1:5" ht="15.75" customHeight="1" x14ac:dyDescent="0.3">
      <c r="A541" s="4"/>
      <c r="B541" s="4"/>
      <c r="C541" s="4"/>
      <c r="D541" s="4"/>
      <c r="E541" s="4"/>
    </row>
    <row r="542" spans="1:5" ht="15.75" customHeight="1" x14ac:dyDescent="0.3">
      <c r="A542" s="4"/>
      <c r="B542" s="4"/>
      <c r="C542" s="4"/>
      <c r="D542" s="4"/>
      <c r="E542" s="4"/>
    </row>
    <row r="543" spans="1:5" ht="15.75" customHeight="1" x14ac:dyDescent="0.3">
      <c r="A543" s="4"/>
      <c r="B543" s="4"/>
      <c r="C543" s="4"/>
      <c r="D543" s="4"/>
      <c r="E543" s="4"/>
    </row>
    <row r="544" spans="1:5" ht="15.75" customHeight="1" x14ac:dyDescent="0.3">
      <c r="A544" s="4"/>
      <c r="B544" s="4"/>
      <c r="C544" s="4"/>
      <c r="D544" s="4"/>
      <c r="E544" s="4"/>
    </row>
    <row r="545" spans="1:5" ht="15.75" customHeight="1" x14ac:dyDescent="0.3">
      <c r="A545" s="4"/>
      <c r="B545" s="4"/>
      <c r="C545" s="4"/>
      <c r="D545" s="4"/>
      <c r="E545" s="4"/>
    </row>
    <row r="546" spans="1:5" ht="15.75" customHeight="1" x14ac:dyDescent="0.3">
      <c r="A546" s="4"/>
      <c r="B546" s="4"/>
      <c r="C546" s="4"/>
      <c r="D546" s="4"/>
      <c r="E546" s="4"/>
    </row>
    <row r="547" spans="1:5" ht="15.75" customHeight="1" x14ac:dyDescent="0.3">
      <c r="A547" s="4"/>
      <c r="B547" s="4"/>
      <c r="C547" s="4"/>
      <c r="D547" s="4"/>
      <c r="E547" s="4"/>
    </row>
    <row r="548" spans="1:5" ht="15.75" customHeight="1" x14ac:dyDescent="0.3">
      <c r="A548" s="4"/>
      <c r="B548" s="4"/>
      <c r="C548" s="4"/>
      <c r="D548" s="4"/>
      <c r="E548" s="4"/>
    </row>
    <row r="549" spans="1:5" ht="15.75" customHeight="1" x14ac:dyDescent="0.3">
      <c r="A549" s="4"/>
      <c r="B549" s="4"/>
      <c r="C549" s="4"/>
      <c r="D549" s="4"/>
      <c r="E549" s="4"/>
    </row>
    <row r="550" spans="1:5" ht="15.75" customHeight="1" x14ac:dyDescent="0.3">
      <c r="A550" s="4"/>
      <c r="B550" s="4"/>
      <c r="C550" s="4"/>
      <c r="D550" s="4"/>
      <c r="E550" s="4"/>
    </row>
    <row r="551" spans="1:5" ht="15.75" customHeight="1" x14ac:dyDescent="0.3">
      <c r="A551" s="4"/>
      <c r="B551" s="4"/>
      <c r="C551" s="4"/>
      <c r="D551" s="4"/>
      <c r="E551" s="4"/>
    </row>
    <row r="552" spans="1:5" ht="15.75" customHeight="1" x14ac:dyDescent="0.3">
      <c r="A552" s="4"/>
      <c r="B552" s="4"/>
      <c r="C552" s="4"/>
      <c r="D552" s="4"/>
      <c r="E552" s="4"/>
    </row>
    <row r="553" spans="1:5" ht="15.75" customHeight="1" x14ac:dyDescent="0.3">
      <c r="A553" s="4"/>
      <c r="B553" s="4"/>
      <c r="C553" s="4"/>
      <c r="D553" s="4"/>
      <c r="E553" s="4"/>
    </row>
    <row r="554" spans="1:5" ht="15.75" customHeight="1" x14ac:dyDescent="0.3">
      <c r="A554" s="4"/>
      <c r="B554" s="4"/>
      <c r="C554" s="4"/>
      <c r="D554" s="4"/>
      <c r="E554" s="4"/>
    </row>
    <row r="555" spans="1:5" ht="15.75" customHeight="1" x14ac:dyDescent="0.3">
      <c r="A555" s="4"/>
      <c r="B555" s="4"/>
      <c r="C555" s="4"/>
      <c r="D555" s="4"/>
      <c r="E555" s="4"/>
    </row>
    <row r="556" spans="1:5" ht="15.75" customHeight="1" x14ac:dyDescent="0.3">
      <c r="A556" s="4"/>
      <c r="B556" s="4"/>
      <c r="C556" s="4"/>
      <c r="D556" s="4"/>
      <c r="E556" s="4"/>
    </row>
    <row r="557" spans="1:5" ht="15.75" customHeight="1" x14ac:dyDescent="0.3">
      <c r="A557" s="4"/>
      <c r="B557" s="4"/>
      <c r="C557" s="4"/>
      <c r="D557" s="4"/>
      <c r="E557" s="4"/>
    </row>
    <row r="558" spans="1:5" ht="15.75" customHeight="1" x14ac:dyDescent="0.3">
      <c r="A558" s="4"/>
      <c r="B558" s="4"/>
      <c r="C558" s="4"/>
      <c r="D558" s="4"/>
      <c r="E558" s="4"/>
    </row>
    <row r="559" spans="1:5" ht="15.75" customHeight="1" x14ac:dyDescent="0.3">
      <c r="A559" s="4"/>
      <c r="B559" s="4"/>
      <c r="C559" s="4"/>
      <c r="D559" s="4"/>
      <c r="E559" s="4"/>
    </row>
    <row r="560" spans="1:5" ht="15.75" customHeight="1" x14ac:dyDescent="0.3">
      <c r="A560" s="4"/>
      <c r="B560" s="4"/>
      <c r="C560" s="4"/>
      <c r="D560" s="4"/>
      <c r="E560" s="4"/>
    </row>
    <row r="561" spans="1:5" ht="15.75" customHeight="1" x14ac:dyDescent="0.3">
      <c r="A561" s="4"/>
      <c r="B561" s="4"/>
      <c r="C561" s="4"/>
      <c r="D561" s="4"/>
      <c r="E561" s="4"/>
    </row>
    <row r="562" spans="1:5" ht="15.75" customHeight="1" x14ac:dyDescent="0.3">
      <c r="A562" s="4"/>
      <c r="B562" s="4"/>
      <c r="C562" s="4"/>
      <c r="D562" s="4"/>
      <c r="E562" s="4"/>
    </row>
    <row r="563" spans="1:5" ht="15.75" customHeight="1" x14ac:dyDescent="0.3">
      <c r="A563" s="4"/>
      <c r="B563" s="4"/>
      <c r="C563" s="4"/>
      <c r="D563" s="4"/>
      <c r="E563" s="4"/>
    </row>
    <row r="564" spans="1:5" ht="15.75" customHeight="1" x14ac:dyDescent="0.3">
      <c r="A564" s="4"/>
      <c r="B564" s="4"/>
      <c r="C564" s="4"/>
      <c r="D564" s="4"/>
      <c r="E564" s="4"/>
    </row>
    <row r="565" spans="1:5" ht="15.75" customHeight="1" x14ac:dyDescent="0.3">
      <c r="A565" s="4"/>
      <c r="B565" s="4"/>
      <c r="C565" s="4"/>
      <c r="D565" s="4"/>
      <c r="E565" s="4"/>
    </row>
    <row r="566" spans="1:5" ht="15.75" customHeight="1" x14ac:dyDescent="0.3">
      <c r="A566" s="4"/>
      <c r="B566" s="4"/>
      <c r="C566" s="4"/>
      <c r="D566" s="4"/>
      <c r="E566" s="4"/>
    </row>
    <row r="567" spans="1:5" ht="15.75" customHeight="1" x14ac:dyDescent="0.3">
      <c r="A567" s="4"/>
      <c r="B567" s="4"/>
      <c r="C567" s="4"/>
      <c r="D567" s="4"/>
      <c r="E567" s="4"/>
    </row>
    <row r="568" spans="1:5" ht="15.75" customHeight="1" x14ac:dyDescent="0.3">
      <c r="A568" s="4"/>
      <c r="B568" s="4"/>
      <c r="C568" s="4"/>
      <c r="D568" s="4"/>
      <c r="E568" s="4"/>
    </row>
    <row r="569" spans="1:5" ht="15.75" customHeight="1" x14ac:dyDescent="0.3">
      <c r="A569" s="4"/>
      <c r="B569" s="4"/>
      <c r="C569" s="4"/>
      <c r="D569" s="4"/>
      <c r="E569" s="4"/>
    </row>
    <row r="570" spans="1:5" ht="15.75" customHeight="1" x14ac:dyDescent="0.3">
      <c r="A570" s="4"/>
      <c r="B570" s="4"/>
      <c r="C570" s="4"/>
      <c r="D570" s="4"/>
      <c r="E570" s="4"/>
    </row>
    <row r="571" spans="1:5" ht="15.75" customHeight="1" x14ac:dyDescent="0.3">
      <c r="A571" s="4"/>
      <c r="B571" s="4"/>
      <c r="C571" s="4"/>
      <c r="D571" s="4"/>
      <c r="E571" s="4"/>
    </row>
    <row r="572" spans="1:5" ht="15.75" customHeight="1" x14ac:dyDescent="0.3">
      <c r="A572" s="4"/>
      <c r="B572" s="4"/>
      <c r="C572" s="4"/>
      <c r="D572" s="4"/>
      <c r="E572" s="4"/>
    </row>
    <row r="573" spans="1:5" ht="15.75" customHeight="1" x14ac:dyDescent="0.3">
      <c r="A573" s="4"/>
      <c r="B573" s="4"/>
      <c r="C573" s="4"/>
      <c r="D573" s="4"/>
      <c r="E573" s="4"/>
    </row>
    <row r="574" spans="1:5" ht="15.75" customHeight="1" x14ac:dyDescent="0.3">
      <c r="A574" s="4"/>
      <c r="B574" s="4"/>
      <c r="C574" s="4"/>
      <c r="D574" s="4"/>
      <c r="E574" s="4"/>
    </row>
    <row r="575" spans="1:5" ht="15.75" customHeight="1" x14ac:dyDescent="0.3">
      <c r="A575" s="4"/>
      <c r="B575" s="4"/>
      <c r="C575" s="4"/>
      <c r="D575" s="4"/>
      <c r="E575" s="4"/>
    </row>
    <row r="576" spans="1:5" ht="15.75" customHeight="1" x14ac:dyDescent="0.3">
      <c r="A576" s="4"/>
      <c r="B576" s="4"/>
      <c r="C576" s="4"/>
      <c r="D576" s="4"/>
      <c r="E576" s="4"/>
    </row>
    <row r="577" spans="1:5" ht="15.75" customHeight="1" x14ac:dyDescent="0.3">
      <c r="A577" s="4"/>
      <c r="B577" s="4"/>
      <c r="C577" s="4"/>
      <c r="D577" s="4"/>
      <c r="E577" s="4"/>
    </row>
    <row r="578" spans="1:5" ht="15.75" customHeight="1" x14ac:dyDescent="0.3">
      <c r="A578" s="4"/>
      <c r="B578" s="4"/>
      <c r="C578" s="4"/>
      <c r="D578" s="4"/>
      <c r="E578" s="4"/>
    </row>
    <row r="579" spans="1:5" ht="15.75" customHeight="1" x14ac:dyDescent="0.3">
      <c r="A579" s="4"/>
      <c r="B579" s="4"/>
      <c r="C579" s="4"/>
      <c r="D579" s="4"/>
      <c r="E579" s="4"/>
    </row>
    <row r="580" spans="1:5" ht="15.75" customHeight="1" x14ac:dyDescent="0.3">
      <c r="A580" s="4"/>
      <c r="B580" s="4"/>
      <c r="C580" s="4"/>
      <c r="D580" s="4"/>
      <c r="E580" s="4"/>
    </row>
    <row r="581" spans="1:5" ht="15.75" customHeight="1" x14ac:dyDescent="0.3">
      <c r="A581" s="4"/>
      <c r="B581" s="4"/>
      <c r="C581" s="4"/>
      <c r="D581" s="4"/>
      <c r="E581" s="4"/>
    </row>
    <row r="582" spans="1:5" ht="15.75" customHeight="1" x14ac:dyDescent="0.3">
      <c r="A582" s="4"/>
      <c r="B582" s="4"/>
      <c r="C582" s="4"/>
      <c r="D582" s="4"/>
      <c r="E582" s="4"/>
    </row>
    <row r="583" spans="1:5" ht="15.75" customHeight="1" x14ac:dyDescent="0.3">
      <c r="A583" s="4"/>
      <c r="B583" s="4"/>
      <c r="C583" s="4"/>
      <c r="D583" s="4"/>
      <c r="E583" s="4"/>
    </row>
    <row r="584" spans="1:5" ht="15.75" customHeight="1" x14ac:dyDescent="0.3">
      <c r="A584" s="4"/>
      <c r="B584" s="4"/>
      <c r="C584" s="4"/>
      <c r="D584" s="4"/>
      <c r="E584" s="4"/>
    </row>
    <row r="585" spans="1:5" ht="15.75" customHeight="1" x14ac:dyDescent="0.3">
      <c r="A585" s="4"/>
      <c r="B585" s="4"/>
      <c r="C585" s="4"/>
      <c r="D585" s="4"/>
      <c r="E585" s="4"/>
    </row>
    <row r="586" spans="1:5" ht="15.75" customHeight="1" x14ac:dyDescent="0.3">
      <c r="A586" s="4"/>
      <c r="B586" s="4"/>
      <c r="C586" s="4"/>
      <c r="D586" s="4"/>
      <c r="E586" s="4"/>
    </row>
    <row r="587" spans="1:5" ht="15.75" customHeight="1" x14ac:dyDescent="0.3">
      <c r="A587" s="4"/>
      <c r="B587" s="4"/>
      <c r="C587" s="4"/>
      <c r="D587" s="4"/>
      <c r="E587" s="4"/>
    </row>
    <row r="588" spans="1:5" ht="15.75" customHeight="1" x14ac:dyDescent="0.3">
      <c r="A588" s="4"/>
      <c r="B588" s="4"/>
      <c r="C588" s="4"/>
      <c r="D588" s="4"/>
      <c r="E588" s="4"/>
    </row>
    <row r="589" spans="1:5" ht="15.75" customHeight="1" x14ac:dyDescent="0.3">
      <c r="A589" s="4"/>
      <c r="B589" s="4"/>
      <c r="C589" s="4"/>
      <c r="D589" s="4"/>
      <c r="E589" s="4"/>
    </row>
    <row r="590" spans="1:5" ht="15.75" customHeight="1" x14ac:dyDescent="0.3">
      <c r="A590" s="4"/>
      <c r="B590" s="4"/>
      <c r="C590" s="4"/>
      <c r="D590" s="4"/>
      <c r="E590" s="4"/>
    </row>
    <row r="591" spans="1:5" ht="15.75" customHeight="1" x14ac:dyDescent="0.3">
      <c r="A591" s="4"/>
      <c r="B591" s="4"/>
      <c r="C591" s="4"/>
      <c r="D591" s="4"/>
      <c r="E591" s="4"/>
    </row>
    <row r="592" spans="1:5" ht="15.75" customHeight="1" x14ac:dyDescent="0.3">
      <c r="A592" s="4"/>
      <c r="B592" s="4"/>
      <c r="C592" s="4"/>
      <c r="D592" s="4"/>
      <c r="E592" s="4"/>
    </row>
    <row r="593" spans="1:5" ht="15.75" customHeight="1" x14ac:dyDescent="0.3">
      <c r="A593" s="4"/>
      <c r="B593" s="4"/>
      <c r="C593" s="4"/>
      <c r="D593" s="4"/>
      <c r="E593" s="4"/>
    </row>
    <row r="594" spans="1:5" ht="15.75" customHeight="1" x14ac:dyDescent="0.3">
      <c r="A594" s="4"/>
      <c r="B594" s="4"/>
      <c r="C594" s="4"/>
      <c r="D594" s="4"/>
      <c r="E594" s="4"/>
    </row>
    <row r="595" spans="1:5" ht="15.75" customHeight="1" x14ac:dyDescent="0.3">
      <c r="A595" s="4"/>
      <c r="B595" s="4"/>
      <c r="C595" s="4"/>
      <c r="D595" s="4"/>
      <c r="E595" s="4"/>
    </row>
    <row r="596" spans="1:5" ht="15.75" customHeight="1" x14ac:dyDescent="0.3">
      <c r="A596" s="4"/>
      <c r="B596" s="4"/>
      <c r="C596" s="4"/>
      <c r="D596" s="4"/>
      <c r="E596" s="4"/>
    </row>
    <row r="597" spans="1:5" ht="15.75" customHeight="1" x14ac:dyDescent="0.3">
      <c r="A597" s="4"/>
      <c r="B597" s="4"/>
      <c r="C597" s="4"/>
      <c r="D597" s="4"/>
      <c r="E597" s="4"/>
    </row>
    <row r="598" spans="1:5" ht="15.75" customHeight="1" x14ac:dyDescent="0.3">
      <c r="A598" s="4"/>
      <c r="B598" s="4"/>
      <c r="C598" s="4"/>
      <c r="D598" s="4"/>
      <c r="E598" s="4"/>
    </row>
    <row r="599" spans="1:5" ht="15.75" customHeight="1" x14ac:dyDescent="0.3">
      <c r="A599" s="4"/>
      <c r="B599" s="4"/>
      <c r="C599" s="4"/>
      <c r="D599" s="4"/>
      <c r="E599" s="4"/>
    </row>
    <row r="600" spans="1:5" ht="15.75" customHeight="1" x14ac:dyDescent="0.3">
      <c r="A600" s="4"/>
      <c r="B600" s="4"/>
      <c r="C600" s="4"/>
      <c r="D600" s="4"/>
      <c r="E600" s="4"/>
    </row>
    <row r="601" spans="1:5" ht="15.75" customHeight="1" x14ac:dyDescent="0.3">
      <c r="A601" s="4"/>
      <c r="B601" s="4"/>
      <c r="C601" s="4"/>
      <c r="D601" s="4"/>
      <c r="E601" s="4"/>
    </row>
    <row r="602" spans="1:5" ht="15.75" customHeight="1" x14ac:dyDescent="0.3">
      <c r="A602" s="4"/>
      <c r="B602" s="4"/>
      <c r="C602" s="4"/>
      <c r="D602" s="4"/>
      <c r="E602" s="4"/>
    </row>
    <row r="603" spans="1:5" ht="15.75" customHeight="1" x14ac:dyDescent="0.3">
      <c r="A603" s="4"/>
      <c r="B603" s="4"/>
      <c r="C603" s="4"/>
      <c r="D603" s="4"/>
      <c r="E603" s="4"/>
    </row>
    <row r="604" spans="1:5" ht="15.75" customHeight="1" x14ac:dyDescent="0.3">
      <c r="A604" s="4"/>
      <c r="B604" s="4"/>
      <c r="C604" s="4"/>
      <c r="D604" s="4"/>
      <c r="E604" s="4"/>
    </row>
    <row r="605" spans="1:5" ht="15.75" customHeight="1" x14ac:dyDescent="0.3">
      <c r="A605" s="4"/>
      <c r="B605" s="4"/>
      <c r="C605" s="4"/>
      <c r="D605" s="4"/>
      <c r="E605" s="4"/>
    </row>
    <row r="606" spans="1:5" ht="15.75" customHeight="1" x14ac:dyDescent="0.3">
      <c r="A606" s="4"/>
      <c r="B606" s="4"/>
      <c r="C606" s="4"/>
      <c r="D606" s="4"/>
      <c r="E606" s="4"/>
    </row>
    <row r="607" spans="1:5" ht="15.75" customHeight="1" x14ac:dyDescent="0.3">
      <c r="A607" s="4"/>
      <c r="B607" s="4"/>
      <c r="C607" s="4"/>
      <c r="D607" s="4"/>
      <c r="E607" s="4"/>
    </row>
    <row r="608" spans="1:5" ht="15.75" customHeight="1" x14ac:dyDescent="0.3">
      <c r="A608" s="4"/>
      <c r="B608" s="4"/>
      <c r="C608" s="4"/>
      <c r="D608" s="4"/>
      <c r="E608" s="4"/>
    </row>
    <row r="609" spans="1:5" ht="15.75" customHeight="1" x14ac:dyDescent="0.3">
      <c r="A609" s="4"/>
      <c r="B609" s="4"/>
      <c r="C609" s="4"/>
      <c r="D609" s="4"/>
      <c r="E609" s="4"/>
    </row>
    <row r="610" spans="1:5" ht="15.75" customHeight="1" x14ac:dyDescent="0.3">
      <c r="A610" s="4"/>
      <c r="B610" s="4"/>
      <c r="C610" s="4"/>
      <c r="D610" s="4"/>
      <c r="E610" s="4"/>
    </row>
    <row r="611" spans="1:5" ht="15.75" customHeight="1" x14ac:dyDescent="0.3">
      <c r="A611" s="4"/>
      <c r="B611" s="4"/>
      <c r="C611" s="4"/>
      <c r="D611" s="4"/>
      <c r="E611" s="4"/>
    </row>
    <row r="612" spans="1:5" ht="15.75" customHeight="1" x14ac:dyDescent="0.3">
      <c r="A612" s="4"/>
      <c r="B612" s="4"/>
      <c r="C612" s="4"/>
      <c r="D612" s="4"/>
      <c r="E612" s="4"/>
    </row>
    <row r="613" spans="1:5" ht="15.75" customHeight="1" x14ac:dyDescent="0.3">
      <c r="A613" s="4"/>
      <c r="B613" s="4"/>
      <c r="C613" s="4"/>
      <c r="D613" s="4"/>
      <c r="E613" s="4"/>
    </row>
    <row r="614" spans="1:5" ht="15.75" customHeight="1" x14ac:dyDescent="0.3">
      <c r="A614" s="4"/>
      <c r="B614" s="4"/>
      <c r="C614" s="4"/>
      <c r="D614" s="4"/>
      <c r="E614" s="4"/>
    </row>
    <row r="615" spans="1:5" ht="15.75" customHeight="1" x14ac:dyDescent="0.3">
      <c r="A615" s="4"/>
      <c r="B615" s="4"/>
      <c r="C615" s="4"/>
      <c r="D615" s="4"/>
      <c r="E615" s="4"/>
    </row>
    <row r="616" spans="1:5" ht="15.75" customHeight="1" x14ac:dyDescent="0.3">
      <c r="A616" s="4"/>
      <c r="B616" s="4"/>
      <c r="C616" s="4"/>
      <c r="D616" s="4"/>
      <c r="E616" s="4"/>
    </row>
    <row r="617" spans="1:5" ht="15.75" customHeight="1" x14ac:dyDescent="0.3">
      <c r="A617" s="4"/>
      <c r="B617" s="4"/>
      <c r="C617" s="4"/>
      <c r="D617" s="4"/>
      <c r="E617" s="4"/>
    </row>
    <row r="618" spans="1:5" ht="15.75" customHeight="1" x14ac:dyDescent="0.3">
      <c r="A618" s="4"/>
      <c r="B618" s="4"/>
      <c r="C618" s="4"/>
      <c r="D618" s="4"/>
      <c r="E618" s="4"/>
    </row>
    <row r="619" spans="1:5" ht="15.75" customHeight="1" x14ac:dyDescent="0.3">
      <c r="A619" s="4"/>
      <c r="B619" s="4"/>
      <c r="C619" s="4"/>
      <c r="D619" s="4"/>
      <c r="E619" s="4"/>
    </row>
    <row r="620" spans="1:5" ht="15.75" customHeight="1" x14ac:dyDescent="0.3">
      <c r="A620" s="4"/>
      <c r="B620" s="4"/>
      <c r="C620" s="4"/>
      <c r="D620" s="4"/>
      <c r="E620" s="4"/>
    </row>
    <row r="621" spans="1:5" ht="15.75" customHeight="1" x14ac:dyDescent="0.3">
      <c r="A621" s="4"/>
      <c r="B621" s="4"/>
      <c r="C621" s="4"/>
      <c r="D621" s="4"/>
      <c r="E621" s="4"/>
    </row>
    <row r="622" spans="1:5" ht="15.75" customHeight="1" x14ac:dyDescent="0.3">
      <c r="A622" s="4"/>
      <c r="B622" s="4"/>
      <c r="C622" s="4"/>
      <c r="D622" s="4"/>
      <c r="E622" s="4"/>
    </row>
    <row r="623" spans="1:5" ht="15.75" customHeight="1" x14ac:dyDescent="0.3">
      <c r="A623" s="4"/>
      <c r="B623" s="4"/>
      <c r="C623" s="4"/>
      <c r="D623" s="4"/>
      <c r="E623" s="4"/>
    </row>
    <row r="624" spans="1:5" ht="15.75" customHeight="1" x14ac:dyDescent="0.3">
      <c r="A624" s="4"/>
      <c r="B624" s="4"/>
      <c r="C624" s="4"/>
      <c r="D624" s="4"/>
      <c r="E624" s="4"/>
    </row>
    <row r="625" spans="1:5" ht="15.75" customHeight="1" x14ac:dyDescent="0.3">
      <c r="A625" s="4"/>
      <c r="B625" s="4"/>
      <c r="C625" s="4"/>
      <c r="D625" s="4"/>
      <c r="E625" s="4"/>
    </row>
    <row r="626" spans="1:5" ht="15.75" customHeight="1" x14ac:dyDescent="0.3">
      <c r="A626" s="4"/>
      <c r="B626" s="4"/>
      <c r="C626" s="4"/>
      <c r="D626" s="4"/>
      <c r="E626" s="4"/>
    </row>
    <row r="627" spans="1:5" ht="15.75" customHeight="1" x14ac:dyDescent="0.3">
      <c r="A627" s="4"/>
      <c r="B627" s="4"/>
      <c r="C627" s="4"/>
      <c r="D627" s="4"/>
      <c r="E627" s="4"/>
    </row>
    <row r="628" spans="1:5" ht="15.75" customHeight="1" x14ac:dyDescent="0.3">
      <c r="A628" s="4"/>
      <c r="B628" s="4"/>
      <c r="C628" s="4"/>
      <c r="D628" s="4"/>
      <c r="E628" s="4"/>
    </row>
    <row r="629" spans="1:5" ht="15.75" customHeight="1" x14ac:dyDescent="0.3">
      <c r="A629" s="4"/>
      <c r="B629" s="4"/>
      <c r="C629" s="4"/>
      <c r="D629" s="4"/>
      <c r="E629" s="4"/>
    </row>
    <row r="630" spans="1:5" ht="15.75" customHeight="1" x14ac:dyDescent="0.3">
      <c r="A630" s="4"/>
      <c r="B630" s="4"/>
      <c r="C630" s="4"/>
      <c r="D630" s="4"/>
      <c r="E630" s="4"/>
    </row>
    <row r="631" spans="1:5" ht="15.75" customHeight="1" x14ac:dyDescent="0.3">
      <c r="A631" s="4"/>
      <c r="B631" s="4"/>
      <c r="C631" s="4"/>
      <c r="D631" s="4"/>
      <c r="E631" s="4"/>
    </row>
    <row r="632" spans="1:5" ht="15.75" customHeight="1" x14ac:dyDescent="0.3">
      <c r="A632" s="4"/>
      <c r="B632" s="4"/>
      <c r="C632" s="4"/>
      <c r="D632" s="4"/>
      <c r="E632" s="4"/>
    </row>
    <row r="633" spans="1:5" ht="15.75" customHeight="1" x14ac:dyDescent="0.3">
      <c r="A633" s="4"/>
      <c r="B633" s="4"/>
      <c r="C633" s="4"/>
      <c r="D633" s="4"/>
      <c r="E633" s="4"/>
    </row>
    <row r="634" spans="1:5" ht="15.75" customHeight="1" x14ac:dyDescent="0.3">
      <c r="A634" s="4"/>
      <c r="B634" s="4"/>
      <c r="C634" s="4"/>
      <c r="D634" s="4"/>
      <c r="E634" s="4"/>
    </row>
    <row r="635" spans="1:5" ht="15.75" customHeight="1" x14ac:dyDescent="0.3">
      <c r="A635" s="4"/>
      <c r="B635" s="4"/>
      <c r="C635" s="4"/>
      <c r="D635" s="4"/>
      <c r="E635" s="4"/>
    </row>
    <row r="636" spans="1:5" ht="15.75" customHeight="1" x14ac:dyDescent="0.3">
      <c r="A636" s="4"/>
      <c r="B636" s="4"/>
      <c r="C636" s="4"/>
      <c r="D636" s="4"/>
      <c r="E636" s="4"/>
    </row>
    <row r="637" spans="1:5" ht="15.75" customHeight="1" x14ac:dyDescent="0.3">
      <c r="A637" s="4"/>
      <c r="B637" s="4"/>
      <c r="C637" s="4"/>
      <c r="D637" s="4"/>
      <c r="E637" s="4"/>
    </row>
    <row r="638" spans="1:5" ht="15.75" customHeight="1" x14ac:dyDescent="0.3">
      <c r="A638" s="4"/>
      <c r="B638" s="4"/>
      <c r="C638" s="4"/>
      <c r="D638" s="4"/>
      <c r="E638" s="4"/>
    </row>
    <row r="639" spans="1:5" ht="15.75" customHeight="1" x14ac:dyDescent="0.3">
      <c r="A639" s="4"/>
      <c r="B639" s="4"/>
      <c r="C639" s="4"/>
      <c r="D639" s="4"/>
      <c r="E639" s="4"/>
    </row>
    <row r="640" spans="1:5" ht="15.75" customHeight="1" x14ac:dyDescent="0.3">
      <c r="A640" s="4"/>
      <c r="B640" s="4"/>
      <c r="C640" s="4"/>
      <c r="D640" s="4"/>
      <c r="E640" s="4"/>
    </row>
    <row r="641" spans="1:5" ht="15.75" customHeight="1" x14ac:dyDescent="0.3">
      <c r="A641" s="4"/>
      <c r="B641" s="4"/>
      <c r="C641" s="4"/>
      <c r="D641" s="4"/>
      <c r="E641" s="4"/>
    </row>
    <row r="642" spans="1:5" ht="15.75" customHeight="1" x14ac:dyDescent="0.3">
      <c r="A642" s="4"/>
      <c r="B642" s="4"/>
      <c r="C642" s="4"/>
      <c r="D642" s="4"/>
      <c r="E642" s="4"/>
    </row>
    <row r="643" spans="1:5" ht="15.75" customHeight="1" x14ac:dyDescent="0.3">
      <c r="A643" s="4"/>
      <c r="B643" s="4"/>
      <c r="C643" s="4"/>
      <c r="D643" s="4"/>
      <c r="E643" s="4"/>
    </row>
    <row r="644" spans="1:5" ht="15.75" customHeight="1" x14ac:dyDescent="0.3">
      <c r="A644" s="4"/>
      <c r="B644" s="4"/>
      <c r="C644" s="4"/>
      <c r="D644" s="4"/>
      <c r="E644" s="4"/>
    </row>
    <row r="645" spans="1:5" ht="15.75" customHeight="1" x14ac:dyDescent="0.3">
      <c r="A645" s="4"/>
      <c r="B645" s="4"/>
      <c r="C645" s="4"/>
      <c r="D645" s="4"/>
      <c r="E645" s="4"/>
    </row>
    <row r="646" spans="1:5" ht="15.75" customHeight="1" x14ac:dyDescent="0.3">
      <c r="A646" s="4"/>
      <c r="B646" s="4"/>
      <c r="C646" s="4"/>
      <c r="D646" s="4"/>
      <c r="E646" s="4"/>
    </row>
    <row r="647" spans="1:5" ht="15.75" customHeight="1" x14ac:dyDescent="0.3">
      <c r="A647" s="4"/>
      <c r="B647" s="4"/>
      <c r="C647" s="4"/>
      <c r="D647" s="4"/>
      <c r="E647" s="4"/>
    </row>
    <row r="648" spans="1:5" ht="15.75" customHeight="1" x14ac:dyDescent="0.3">
      <c r="A648" s="4"/>
      <c r="B648" s="4"/>
      <c r="C648" s="4"/>
      <c r="D648" s="4"/>
      <c r="E648" s="4"/>
    </row>
    <row r="649" spans="1:5" ht="15.75" customHeight="1" x14ac:dyDescent="0.3">
      <c r="A649" s="4"/>
      <c r="B649" s="4"/>
      <c r="C649" s="4"/>
      <c r="D649" s="4"/>
      <c r="E649" s="4"/>
    </row>
    <row r="650" spans="1:5" ht="15.75" customHeight="1" x14ac:dyDescent="0.3">
      <c r="A650" s="4"/>
      <c r="B650" s="4"/>
      <c r="C650" s="4"/>
      <c r="D650" s="4"/>
      <c r="E650" s="4"/>
    </row>
    <row r="651" spans="1:5" ht="15.75" customHeight="1" x14ac:dyDescent="0.3">
      <c r="A651" s="4"/>
      <c r="B651" s="4"/>
      <c r="C651" s="4"/>
      <c r="D651" s="4"/>
      <c r="E651" s="4"/>
    </row>
    <row r="652" spans="1:5" ht="15.75" customHeight="1" x14ac:dyDescent="0.3">
      <c r="A652" s="4"/>
      <c r="B652" s="4"/>
      <c r="C652" s="4"/>
      <c r="D652" s="4"/>
      <c r="E652" s="4"/>
    </row>
    <row r="653" spans="1:5" ht="15.75" customHeight="1" x14ac:dyDescent="0.3">
      <c r="A653" s="4"/>
      <c r="B653" s="4"/>
      <c r="C653" s="4"/>
      <c r="D653" s="4"/>
      <c r="E653" s="4"/>
    </row>
    <row r="654" spans="1:5" ht="15.75" customHeight="1" x14ac:dyDescent="0.3">
      <c r="A654" s="4"/>
      <c r="B654" s="4"/>
      <c r="C654" s="4"/>
      <c r="D654" s="4"/>
      <c r="E654" s="4"/>
    </row>
    <row r="655" spans="1:5" ht="15.75" customHeight="1" x14ac:dyDescent="0.3">
      <c r="A655" s="4"/>
      <c r="B655" s="4"/>
      <c r="C655" s="4"/>
      <c r="D655" s="4"/>
      <c r="E655" s="4"/>
    </row>
    <row r="656" spans="1:5" ht="15.75" customHeight="1" x14ac:dyDescent="0.3">
      <c r="A656" s="4"/>
      <c r="B656" s="4"/>
      <c r="C656" s="4"/>
      <c r="D656" s="4"/>
      <c r="E656" s="4"/>
    </row>
    <row r="657" spans="1:5" ht="15.75" customHeight="1" x14ac:dyDescent="0.3">
      <c r="A657" s="4"/>
      <c r="B657" s="4"/>
      <c r="C657" s="4"/>
      <c r="D657" s="4"/>
      <c r="E657" s="4"/>
    </row>
    <row r="658" spans="1:5" ht="15.75" customHeight="1" x14ac:dyDescent="0.3">
      <c r="A658" s="4"/>
      <c r="B658" s="4"/>
      <c r="C658" s="4"/>
      <c r="D658" s="4"/>
      <c r="E658" s="4"/>
    </row>
    <row r="659" spans="1:5" ht="15.75" customHeight="1" x14ac:dyDescent="0.3">
      <c r="A659" s="4"/>
      <c r="B659" s="4"/>
      <c r="C659" s="4"/>
      <c r="D659" s="4"/>
      <c r="E659" s="4"/>
    </row>
    <row r="660" spans="1:5" ht="15.75" customHeight="1" x14ac:dyDescent="0.3">
      <c r="A660" s="4"/>
      <c r="B660" s="4"/>
      <c r="C660" s="4"/>
      <c r="D660" s="4"/>
      <c r="E660" s="4"/>
    </row>
    <row r="661" spans="1:5" ht="15.75" customHeight="1" x14ac:dyDescent="0.3">
      <c r="A661" s="4"/>
      <c r="B661" s="4"/>
      <c r="C661" s="4"/>
      <c r="D661" s="4"/>
      <c r="E661" s="4"/>
    </row>
    <row r="662" spans="1:5" ht="15.75" customHeight="1" x14ac:dyDescent="0.3">
      <c r="A662" s="4"/>
      <c r="B662" s="4"/>
      <c r="C662" s="4"/>
      <c r="D662" s="4"/>
      <c r="E662" s="4"/>
    </row>
    <row r="663" spans="1:5" ht="15.75" customHeight="1" x14ac:dyDescent="0.3">
      <c r="A663" s="4"/>
      <c r="B663" s="4"/>
      <c r="C663" s="4"/>
      <c r="D663" s="4"/>
      <c r="E663" s="4"/>
    </row>
    <row r="664" spans="1:5" ht="15.75" customHeight="1" x14ac:dyDescent="0.3">
      <c r="A664" s="4"/>
      <c r="B664" s="4"/>
      <c r="C664" s="4"/>
      <c r="D664" s="4"/>
      <c r="E664" s="4"/>
    </row>
    <row r="665" spans="1:5" ht="15.75" customHeight="1" x14ac:dyDescent="0.3">
      <c r="A665" s="4"/>
      <c r="B665" s="4"/>
      <c r="C665" s="4"/>
      <c r="D665" s="4"/>
      <c r="E665" s="4"/>
    </row>
    <row r="666" spans="1:5" ht="15.75" customHeight="1" x14ac:dyDescent="0.3">
      <c r="A666" s="4"/>
      <c r="B666" s="4"/>
      <c r="C666" s="4"/>
      <c r="D666" s="4"/>
      <c r="E666" s="4"/>
    </row>
    <row r="667" spans="1:5" ht="15.75" customHeight="1" x14ac:dyDescent="0.3">
      <c r="A667" s="4"/>
      <c r="B667" s="4"/>
      <c r="C667" s="4"/>
      <c r="D667" s="4"/>
      <c r="E667" s="4"/>
    </row>
    <row r="668" spans="1:5" ht="15.75" customHeight="1" x14ac:dyDescent="0.3">
      <c r="A668" s="4"/>
      <c r="B668" s="4"/>
      <c r="C668" s="4"/>
      <c r="D668" s="4"/>
      <c r="E668" s="4"/>
    </row>
    <row r="669" spans="1:5" ht="15.75" customHeight="1" x14ac:dyDescent="0.3">
      <c r="A669" s="4"/>
      <c r="B669" s="4"/>
      <c r="C669" s="4"/>
      <c r="D669" s="4"/>
      <c r="E669" s="4"/>
    </row>
    <row r="670" spans="1:5" ht="15.75" customHeight="1" x14ac:dyDescent="0.3">
      <c r="A670" s="4"/>
      <c r="B670" s="4"/>
      <c r="C670" s="4"/>
      <c r="D670" s="4"/>
      <c r="E670" s="4"/>
    </row>
    <row r="671" spans="1:5" ht="15.75" customHeight="1" x14ac:dyDescent="0.3">
      <c r="A671" s="4"/>
      <c r="B671" s="4"/>
      <c r="C671" s="4"/>
      <c r="D671" s="4"/>
      <c r="E671" s="4"/>
    </row>
    <row r="672" spans="1:5" ht="15.75" customHeight="1" x14ac:dyDescent="0.3">
      <c r="A672" s="4"/>
      <c r="B672" s="4"/>
      <c r="C672" s="4"/>
      <c r="D672" s="4"/>
      <c r="E672" s="4"/>
    </row>
    <row r="673" spans="1:5" ht="15.75" customHeight="1" x14ac:dyDescent="0.3">
      <c r="A673" s="4"/>
      <c r="B673" s="4"/>
      <c r="C673" s="4"/>
      <c r="D673" s="4"/>
      <c r="E673" s="4"/>
    </row>
    <row r="674" spans="1:5" ht="15.75" customHeight="1" x14ac:dyDescent="0.3">
      <c r="A674" s="4"/>
      <c r="B674" s="4"/>
      <c r="C674" s="4"/>
      <c r="D674" s="4"/>
      <c r="E674" s="4"/>
    </row>
    <row r="675" spans="1:5" ht="15.75" customHeight="1" x14ac:dyDescent="0.3">
      <c r="A675" s="4"/>
      <c r="B675" s="4"/>
      <c r="C675" s="4"/>
      <c r="D675" s="4"/>
      <c r="E675" s="4"/>
    </row>
    <row r="676" spans="1:5" ht="15.75" customHeight="1" x14ac:dyDescent="0.3">
      <c r="A676" s="4"/>
      <c r="B676" s="4"/>
      <c r="C676" s="4"/>
      <c r="D676" s="4"/>
      <c r="E676" s="4"/>
    </row>
    <row r="677" spans="1:5" ht="15.75" customHeight="1" x14ac:dyDescent="0.3">
      <c r="A677" s="4"/>
      <c r="B677" s="4"/>
      <c r="C677" s="4"/>
      <c r="D677" s="4"/>
      <c r="E677" s="4"/>
    </row>
    <row r="678" spans="1:5" ht="15.75" customHeight="1" x14ac:dyDescent="0.3">
      <c r="A678" s="4"/>
      <c r="B678" s="4"/>
      <c r="C678" s="4"/>
      <c r="D678" s="4"/>
      <c r="E678" s="4"/>
    </row>
    <row r="679" spans="1:5" ht="15.75" customHeight="1" x14ac:dyDescent="0.3">
      <c r="A679" s="4"/>
      <c r="B679" s="4"/>
      <c r="C679" s="4"/>
      <c r="D679" s="4"/>
      <c r="E679" s="4"/>
    </row>
    <row r="680" spans="1:5" ht="15.75" customHeight="1" x14ac:dyDescent="0.3">
      <c r="A680" s="4"/>
      <c r="B680" s="4"/>
      <c r="C680" s="4"/>
      <c r="D680" s="4"/>
      <c r="E680" s="4"/>
    </row>
    <row r="681" spans="1:5" ht="15.75" customHeight="1" x14ac:dyDescent="0.3">
      <c r="A681" s="4"/>
      <c r="B681" s="4"/>
      <c r="C681" s="4"/>
      <c r="D681" s="4"/>
      <c r="E681" s="4"/>
    </row>
    <row r="682" spans="1:5" ht="15.75" customHeight="1" x14ac:dyDescent="0.3">
      <c r="A682" s="4"/>
      <c r="B682" s="4"/>
      <c r="C682" s="4"/>
      <c r="D682" s="4"/>
      <c r="E682" s="4"/>
    </row>
    <row r="683" spans="1:5" ht="15.75" customHeight="1" x14ac:dyDescent="0.3">
      <c r="A683" s="4"/>
      <c r="B683" s="4"/>
      <c r="C683" s="4"/>
      <c r="D683" s="4"/>
      <c r="E683" s="4"/>
    </row>
    <row r="684" spans="1:5" ht="15.75" customHeight="1" x14ac:dyDescent="0.3">
      <c r="A684" s="4"/>
      <c r="B684" s="4"/>
      <c r="C684" s="4"/>
      <c r="D684" s="4"/>
      <c r="E684" s="4"/>
    </row>
    <row r="685" spans="1:5" ht="15.75" customHeight="1" x14ac:dyDescent="0.3">
      <c r="A685" s="4"/>
      <c r="B685" s="4"/>
      <c r="C685" s="4"/>
      <c r="D685" s="4"/>
      <c r="E685" s="4"/>
    </row>
    <row r="686" spans="1:5" ht="15.75" customHeight="1" x14ac:dyDescent="0.3">
      <c r="A686" s="4"/>
      <c r="B686" s="4"/>
      <c r="C686" s="4"/>
      <c r="D686" s="4"/>
      <c r="E686" s="4"/>
    </row>
    <row r="687" spans="1:5" ht="15.75" customHeight="1" x14ac:dyDescent="0.3">
      <c r="A687" s="4"/>
      <c r="B687" s="4"/>
      <c r="C687" s="4"/>
      <c r="D687" s="4"/>
      <c r="E687" s="4"/>
    </row>
    <row r="688" spans="1:5" ht="15.75" customHeight="1" x14ac:dyDescent="0.3">
      <c r="A688" s="4"/>
      <c r="B688" s="4"/>
      <c r="C688" s="4"/>
      <c r="D688" s="4"/>
      <c r="E688" s="4"/>
    </row>
    <row r="689" spans="1:5" ht="15.75" customHeight="1" x14ac:dyDescent="0.3">
      <c r="A689" s="4"/>
      <c r="B689" s="4"/>
      <c r="C689" s="4"/>
      <c r="D689" s="4"/>
      <c r="E689" s="4"/>
    </row>
    <row r="690" spans="1:5" ht="15.75" customHeight="1" x14ac:dyDescent="0.3">
      <c r="A690" s="4"/>
      <c r="B690" s="4"/>
      <c r="C690" s="4"/>
      <c r="D690" s="4"/>
      <c r="E690" s="4"/>
    </row>
    <row r="691" spans="1:5" ht="15.75" customHeight="1" x14ac:dyDescent="0.3">
      <c r="A691" s="4"/>
      <c r="B691" s="4"/>
      <c r="C691" s="4"/>
      <c r="D691" s="4"/>
      <c r="E691" s="4"/>
    </row>
    <row r="692" spans="1:5" ht="15.75" customHeight="1" x14ac:dyDescent="0.3">
      <c r="A692" s="4"/>
      <c r="B692" s="4"/>
      <c r="C692" s="4"/>
      <c r="D692" s="4"/>
      <c r="E692" s="4"/>
    </row>
    <row r="693" spans="1:5" ht="15.75" customHeight="1" x14ac:dyDescent="0.3">
      <c r="A693" s="4"/>
      <c r="B693" s="4"/>
      <c r="C693" s="4"/>
      <c r="D693" s="4"/>
      <c r="E693" s="4"/>
    </row>
    <row r="694" spans="1:5" ht="15.75" customHeight="1" x14ac:dyDescent="0.3">
      <c r="A694" s="4"/>
      <c r="B694" s="4"/>
      <c r="C694" s="4"/>
      <c r="D694" s="4"/>
      <c r="E694" s="4"/>
    </row>
    <row r="695" spans="1:5" ht="15.75" customHeight="1" x14ac:dyDescent="0.3">
      <c r="A695" s="4"/>
      <c r="B695" s="4"/>
      <c r="C695" s="4"/>
      <c r="D695" s="4"/>
      <c r="E695" s="4"/>
    </row>
    <row r="696" spans="1:5" ht="15.75" customHeight="1" x14ac:dyDescent="0.3">
      <c r="A696" s="4"/>
      <c r="B696" s="4"/>
      <c r="C696" s="4"/>
      <c r="D696" s="4"/>
      <c r="E696" s="4"/>
    </row>
    <row r="697" spans="1:5" ht="15.75" customHeight="1" x14ac:dyDescent="0.3">
      <c r="A697" s="4"/>
      <c r="B697" s="4"/>
      <c r="C697" s="4"/>
      <c r="D697" s="4"/>
      <c r="E697" s="4"/>
    </row>
    <row r="698" spans="1:5" ht="15.75" customHeight="1" x14ac:dyDescent="0.3">
      <c r="A698" s="4"/>
      <c r="B698" s="4"/>
      <c r="C698" s="4"/>
      <c r="D698" s="4"/>
      <c r="E698" s="4"/>
    </row>
    <row r="699" spans="1:5" ht="15.75" customHeight="1" x14ac:dyDescent="0.3">
      <c r="A699" s="4"/>
      <c r="B699" s="4"/>
      <c r="C699" s="4"/>
      <c r="D699" s="4"/>
      <c r="E699" s="4"/>
    </row>
    <row r="700" spans="1:5" ht="15.75" customHeight="1" x14ac:dyDescent="0.3">
      <c r="A700" s="4"/>
      <c r="B700" s="4"/>
      <c r="C700" s="4"/>
      <c r="D700" s="4"/>
      <c r="E700" s="4"/>
    </row>
    <row r="701" spans="1:5" ht="15.75" customHeight="1" x14ac:dyDescent="0.3">
      <c r="A701" s="4"/>
      <c r="B701" s="4"/>
      <c r="C701" s="4"/>
      <c r="D701" s="4"/>
      <c r="E701" s="4"/>
    </row>
    <row r="702" spans="1:5" ht="15.75" customHeight="1" x14ac:dyDescent="0.3">
      <c r="A702" s="4"/>
      <c r="B702" s="4"/>
      <c r="C702" s="4"/>
      <c r="D702" s="4"/>
      <c r="E702" s="4"/>
    </row>
    <row r="703" spans="1:5" ht="15.75" customHeight="1" x14ac:dyDescent="0.3">
      <c r="A703" s="4"/>
      <c r="B703" s="4"/>
      <c r="C703" s="4"/>
      <c r="D703" s="4"/>
      <c r="E703" s="4"/>
    </row>
    <row r="704" spans="1:5" ht="15.75" customHeight="1" x14ac:dyDescent="0.3">
      <c r="A704" s="4"/>
      <c r="B704" s="4"/>
      <c r="C704" s="4"/>
      <c r="D704" s="4"/>
      <c r="E704" s="4"/>
    </row>
    <row r="705" spans="1:5" ht="15.75" customHeight="1" x14ac:dyDescent="0.3">
      <c r="A705" s="4"/>
      <c r="B705" s="4"/>
      <c r="C705" s="4"/>
      <c r="D705" s="4"/>
      <c r="E705" s="4"/>
    </row>
    <row r="706" spans="1:5" ht="15.75" customHeight="1" x14ac:dyDescent="0.3">
      <c r="A706" s="4"/>
      <c r="B706" s="4"/>
      <c r="C706" s="4"/>
      <c r="D706" s="4"/>
      <c r="E706" s="4"/>
    </row>
    <row r="707" spans="1:5" ht="15.75" customHeight="1" x14ac:dyDescent="0.3">
      <c r="A707" s="4"/>
      <c r="B707" s="4"/>
      <c r="C707" s="4"/>
      <c r="D707" s="4"/>
      <c r="E707" s="4"/>
    </row>
    <row r="708" spans="1:5" ht="15.75" customHeight="1" x14ac:dyDescent="0.3">
      <c r="A708" s="4"/>
      <c r="B708" s="4"/>
      <c r="C708" s="4"/>
      <c r="D708" s="4"/>
      <c r="E708" s="4"/>
    </row>
    <row r="709" spans="1:5" ht="15.75" customHeight="1" x14ac:dyDescent="0.3">
      <c r="A709" s="4"/>
      <c r="B709" s="4"/>
      <c r="C709" s="4"/>
      <c r="D709" s="4"/>
      <c r="E709" s="4"/>
    </row>
    <row r="710" spans="1:5" ht="15.75" customHeight="1" x14ac:dyDescent="0.3">
      <c r="A710" s="4"/>
      <c r="B710" s="4"/>
      <c r="C710" s="4"/>
      <c r="D710" s="4"/>
      <c r="E710" s="4"/>
    </row>
    <row r="711" spans="1:5" ht="15.75" customHeight="1" x14ac:dyDescent="0.3">
      <c r="A711" s="4"/>
      <c r="B711" s="4"/>
      <c r="C711" s="4"/>
      <c r="D711" s="4"/>
      <c r="E711" s="4"/>
    </row>
    <row r="712" spans="1:5" ht="15.75" customHeight="1" x14ac:dyDescent="0.3">
      <c r="A712" s="4"/>
      <c r="B712" s="4"/>
      <c r="C712" s="4"/>
      <c r="D712" s="4"/>
      <c r="E712" s="4"/>
    </row>
    <row r="713" spans="1:5" ht="15.75" customHeight="1" x14ac:dyDescent="0.3">
      <c r="A713" s="4"/>
      <c r="B713" s="4"/>
      <c r="C713" s="4"/>
      <c r="D713" s="4"/>
      <c r="E713" s="4"/>
    </row>
    <row r="714" spans="1:5" ht="15.75" customHeight="1" x14ac:dyDescent="0.3">
      <c r="A714" s="4"/>
      <c r="B714" s="4"/>
      <c r="C714" s="4"/>
      <c r="D714" s="4"/>
      <c r="E714" s="4"/>
    </row>
    <row r="715" spans="1:5" ht="15.75" customHeight="1" x14ac:dyDescent="0.3">
      <c r="A715" s="4"/>
      <c r="B715" s="4"/>
      <c r="C715" s="4"/>
      <c r="D715" s="4"/>
      <c r="E715" s="4"/>
    </row>
    <row r="716" spans="1:5" ht="15.75" customHeight="1" x14ac:dyDescent="0.3">
      <c r="A716" s="4"/>
      <c r="B716" s="4"/>
      <c r="C716" s="4"/>
      <c r="D716" s="4"/>
      <c r="E716" s="4"/>
    </row>
    <row r="717" spans="1:5" ht="15.75" customHeight="1" x14ac:dyDescent="0.3">
      <c r="A717" s="4"/>
      <c r="B717" s="4"/>
      <c r="C717" s="4"/>
      <c r="D717" s="4"/>
      <c r="E717" s="4"/>
    </row>
    <row r="718" spans="1:5" ht="15.75" customHeight="1" x14ac:dyDescent="0.3">
      <c r="A718" s="4"/>
      <c r="B718" s="4"/>
      <c r="C718" s="4"/>
      <c r="D718" s="4"/>
      <c r="E718" s="4"/>
    </row>
    <row r="719" spans="1:5" ht="15.75" customHeight="1" x14ac:dyDescent="0.3">
      <c r="A719" s="4"/>
      <c r="B719" s="4"/>
      <c r="C719" s="4"/>
      <c r="D719" s="4"/>
      <c r="E719" s="4"/>
    </row>
    <row r="720" spans="1:5" ht="15.75" customHeight="1" x14ac:dyDescent="0.3">
      <c r="A720" s="4"/>
      <c r="B720" s="4"/>
      <c r="C720" s="4"/>
      <c r="D720" s="4"/>
      <c r="E720" s="4"/>
    </row>
    <row r="721" spans="1:5" ht="15.75" customHeight="1" x14ac:dyDescent="0.3">
      <c r="A721" s="4"/>
      <c r="B721" s="4"/>
      <c r="C721" s="4"/>
      <c r="D721" s="4"/>
      <c r="E721" s="4"/>
    </row>
    <row r="722" spans="1:5" ht="15.75" customHeight="1" x14ac:dyDescent="0.3">
      <c r="A722" s="4"/>
      <c r="B722" s="4"/>
      <c r="C722" s="4"/>
      <c r="D722" s="4"/>
      <c r="E722" s="4"/>
    </row>
    <row r="723" spans="1:5" ht="15.75" customHeight="1" x14ac:dyDescent="0.3">
      <c r="A723" s="4"/>
      <c r="B723" s="4"/>
      <c r="C723" s="4"/>
      <c r="D723" s="4"/>
      <c r="E723" s="4"/>
    </row>
    <row r="724" spans="1:5" ht="15.75" customHeight="1" x14ac:dyDescent="0.3">
      <c r="A724" s="4"/>
      <c r="B724" s="4"/>
      <c r="C724" s="4"/>
      <c r="D724" s="4"/>
      <c r="E724" s="4"/>
    </row>
    <row r="725" spans="1:5" ht="15.75" customHeight="1" x14ac:dyDescent="0.3">
      <c r="A725" s="4"/>
      <c r="B725" s="4"/>
      <c r="C725" s="4"/>
      <c r="D725" s="4"/>
      <c r="E725" s="4"/>
    </row>
    <row r="726" spans="1:5" ht="15.75" customHeight="1" x14ac:dyDescent="0.3">
      <c r="A726" s="4"/>
      <c r="B726" s="4"/>
      <c r="C726" s="4"/>
      <c r="D726" s="4"/>
      <c r="E726" s="4"/>
    </row>
    <row r="727" spans="1:5" ht="15.75" customHeight="1" x14ac:dyDescent="0.3">
      <c r="A727" s="4"/>
      <c r="B727" s="4"/>
      <c r="C727" s="4"/>
      <c r="D727" s="4"/>
      <c r="E727" s="4"/>
    </row>
    <row r="728" spans="1:5" ht="15.75" customHeight="1" x14ac:dyDescent="0.3">
      <c r="A728" s="4"/>
      <c r="B728" s="4"/>
      <c r="C728" s="4"/>
      <c r="D728" s="4"/>
      <c r="E728" s="4"/>
    </row>
    <row r="729" spans="1:5" ht="15.75" customHeight="1" x14ac:dyDescent="0.3">
      <c r="A729" s="4"/>
      <c r="B729" s="4"/>
      <c r="C729" s="4"/>
      <c r="D729" s="4"/>
      <c r="E729" s="4"/>
    </row>
    <row r="730" spans="1:5" ht="15.75" customHeight="1" x14ac:dyDescent="0.3">
      <c r="A730" s="4"/>
      <c r="B730" s="4"/>
      <c r="C730" s="4"/>
      <c r="D730" s="4"/>
      <c r="E730" s="4"/>
    </row>
    <row r="731" spans="1:5" ht="15.75" customHeight="1" x14ac:dyDescent="0.3">
      <c r="A731" s="4"/>
      <c r="B731" s="4"/>
      <c r="C731" s="4"/>
      <c r="D731" s="4"/>
      <c r="E731" s="4"/>
    </row>
    <row r="732" spans="1:5" ht="15.75" customHeight="1" x14ac:dyDescent="0.3">
      <c r="A732" s="4"/>
      <c r="B732" s="4"/>
      <c r="C732" s="4"/>
      <c r="D732" s="4"/>
      <c r="E732" s="4"/>
    </row>
    <row r="733" spans="1:5" ht="15.75" customHeight="1" x14ac:dyDescent="0.3">
      <c r="A733" s="4"/>
      <c r="B733" s="4"/>
      <c r="C733" s="4"/>
      <c r="D733" s="4"/>
      <c r="E733" s="4"/>
    </row>
    <row r="734" spans="1:5" ht="15.75" customHeight="1" x14ac:dyDescent="0.3">
      <c r="A734" s="4"/>
      <c r="B734" s="4"/>
      <c r="C734" s="4"/>
      <c r="D734" s="4"/>
      <c r="E734" s="4"/>
    </row>
    <row r="735" spans="1:5" ht="15.75" customHeight="1" x14ac:dyDescent="0.3">
      <c r="A735" s="4"/>
      <c r="B735" s="4"/>
      <c r="C735" s="4"/>
      <c r="D735" s="4"/>
      <c r="E735" s="4"/>
    </row>
    <row r="736" spans="1:5" ht="15.75" customHeight="1" x14ac:dyDescent="0.3">
      <c r="A736" s="4"/>
      <c r="B736" s="4"/>
      <c r="C736" s="4"/>
      <c r="D736" s="4"/>
      <c r="E736" s="4"/>
    </row>
    <row r="737" spans="1:5" ht="15.75" customHeight="1" x14ac:dyDescent="0.3">
      <c r="A737" s="4"/>
      <c r="B737" s="4"/>
      <c r="C737" s="4"/>
      <c r="D737" s="4"/>
      <c r="E737" s="4"/>
    </row>
    <row r="738" spans="1:5" ht="15.75" customHeight="1" x14ac:dyDescent="0.3">
      <c r="A738" s="4"/>
      <c r="B738" s="4"/>
      <c r="C738" s="4"/>
      <c r="D738" s="4"/>
      <c r="E738" s="4"/>
    </row>
    <row r="739" spans="1:5" ht="15.75" customHeight="1" x14ac:dyDescent="0.3">
      <c r="A739" s="4"/>
      <c r="B739" s="4"/>
      <c r="C739" s="4"/>
      <c r="D739" s="4"/>
      <c r="E739" s="4"/>
    </row>
    <row r="740" spans="1:5" ht="15.75" customHeight="1" x14ac:dyDescent="0.3">
      <c r="A740" s="4"/>
      <c r="B740" s="4"/>
      <c r="C740" s="4"/>
      <c r="D740" s="4"/>
      <c r="E740" s="4"/>
    </row>
    <row r="741" spans="1:5" ht="15.75" customHeight="1" x14ac:dyDescent="0.3">
      <c r="A741" s="4"/>
      <c r="B741" s="4"/>
      <c r="C741" s="4"/>
      <c r="D741" s="4"/>
      <c r="E741" s="4"/>
    </row>
    <row r="742" spans="1:5" ht="15.75" customHeight="1" x14ac:dyDescent="0.3">
      <c r="A742" s="4"/>
      <c r="B742" s="4"/>
      <c r="C742" s="4"/>
      <c r="D742" s="4"/>
      <c r="E742" s="4"/>
    </row>
    <row r="743" spans="1:5" ht="15.75" customHeight="1" x14ac:dyDescent="0.3">
      <c r="A743" s="4"/>
      <c r="B743" s="4"/>
      <c r="C743" s="4"/>
      <c r="D743" s="4"/>
      <c r="E743" s="4"/>
    </row>
    <row r="744" spans="1:5" ht="15.75" customHeight="1" x14ac:dyDescent="0.3">
      <c r="A744" s="4"/>
      <c r="B744" s="4"/>
      <c r="C744" s="4"/>
      <c r="D744" s="4"/>
      <c r="E744" s="4"/>
    </row>
    <row r="745" spans="1:5" ht="15.75" customHeight="1" x14ac:dyDescent="0.3">
      <c r="A745" s="4"/>
      <c r="B745" s="4"/>
      <c r="C745" s="4"/>
      <c r="D745" s="4"/>
      <c r="E745" s="4"/>
    </row>
    <row r="746" spans="1:5" ht="15.75" customHeight="1" x14ac:dyDescent="0.3">
      <c r="A746" s="4"/>
      <c r="B746" s="4"/>
      <c r="C746" s="4"/>
      <c r="D746" s="4"/>
      <c r="E746" s="4"/>
    </row>
    <row r="747" spans="1:5" ht="15.75" customHeight="1" x14ac:dyDescent="0.3">
      <c r="A747" s="4"/>
      <c r="B747" s="4"/>
      <c r="C747" s="4"/>
      <c r="D747" s="4"/>
      <c r="E747" s="4"/>
    </row>
    <row r="748" spans="1:5" ht="15.75" customHeight="1" x14ac:dyDescent="0.3">
      <c r="A748" s="4"/>
      <c r="B748" s="4"/>
      <c r="C748" s="4"/>
      <c r="D748" s="4"/>
      <c r="E748" s="4"/>
    </row>
    <row r="749" spans="1:5" ht="15.75" customHeight="1" x14ac:dyDescent="0.3">
      <c r="A749" s="4"/>
      <c r="B749" s="4"/>
      <c r="C749" s="4"/>
      <c r="D749" s="4"/>
      <c r="E749" s="4"/>
    </row>
    <row r="750" spans="1:5" ht="15.75" customHeight="1" x14ac:dyDescent="0.3">
      <c r="A750" s="4"/>
      <c r="B750" s="4"/>
      <c r="C750" s="4"/>
      <c r="D750" s="4"/>
      <c r="E750" s="4"/>
    </row>
    <row r="751" spans="1:5" ht="15.75" customHeight="1" x14ac:dyDescent="0.3">
      <c r="A751" s="4"/>
      <c r="B751" s="4"/>
      <c r="C751" s="4"/>
      <c r="D751" s="4"/>
      <c r="E751" s="4"/>
    </row>
    <row r="752" spans="1:5" ht="15.75" customHeight="1" x14ac:dyDescent="0.3">
      <c r="A752" s="4"/>
      <c r="B752" s="4"/>
      <c r="C752" s="4"/>
      <c r="D752" s="4"/>
      <c r="E752" s="4"/>
    </row>
    <row r="753" spans="1:5" ht="15.75" customHeight="1" x14ac:dyDescent="0.3">
      <c r="A753" s="4"/>
      <c r="B753" s="4"/>
      <c r="C753" s="4"/>
      <c r="D753" s="4"/>
      <c r="E753" s="4"/>
    </row>
    <row r="754" spans="1:5" ht="15.75" customHeight="1" x14ac:dyDescent="0.3">
      <c r="A754" s="4"/>
      <c r="B754" s="4"/>
      <c r="C754" s="4"/>
      <c r="D754" s="4"/>
      <c r="E754" s="4"/>
    </row>
    <row r="755" spans="1:5" ht="15.75" customHeight="1" x14ac:dyDescent="0.3">
      <c r="A755" s="4"/>
      <c r="B755" s="4"/>
      <c r="C755" s="4"/>
      <c r="D755" s="4"/>
      <c r="E755" s="4"/>
    </row>
    <row r="756" spans="1:5" ht="15.75" customHeight="1" x14ac:dyDescent="0.3">
      <c r="A756" s="4"/>
      <c r="B756" s="4"/>
      <c r="C756" s="4"/>
      <c r="D756" s="4"/>
      <c r="E756" s="4"/>
    </row>
    <row r="757" spans="1:5" ht="15.75" customHeight="1" x14ac:dyDescent="0.3">
      <c r="A757" s="4"/>
      <c r="B757" s="4"/>
      <c r="C757" s="4"/>
      <c r="D757" s="4"/>
      <c r="E757" s="4"/>
    </row>
    <row r="758" spans="1:5" ht="15.75" customHeight="1" x14ac:dyDescent="0.3">
      <c r="A758" s="4"/>
      <c r="B758" s="4"/>
      <c r="C758" s="4"/>
      <c r="D758" s="4"/>
      <c r="E758" s="4"/>
    </row>
    <row r="759" spans="1:5" ht="15.75" customHeight="1" x14ac:dyDescent="0.3">
      <c r="A759" s="4"/>
      <c r="B759" s="4"/>
      <c r="C759" s="4"/>
      <c r="D759" s="4"/>
      <c r="E759" s="4"/>
    </row>
    <row r="760" spans="1:5" ht="15.75" customHeight="1" x14ac:dyDescent="0.3">
      <c r="A760" s="4"/>
      <c r="B760" s="4"/>
      <c r="C760" s="4"/>
      <c r="D760" s="4"/>
      <c r="E760" s="4"/>
    </row>
    <row r="761" spans="1:5" ht="15.75" customHeight="1" x14ac:dyDescent="0.3">
      <c r="A761" s="4"/>
      <c r="B761" s="4"/>
      <c r="C761" s="4"/>
      <c r="D761" s="4"/>
      <c r="E761" s="4"/>
    </row>
    <row r="762" spans="1:5" ht="15.75" customHeight="1" x14ac:dyDescent="0.3">
      <c r="A762" s="4"/>
      <c r="B762" s="4"/>
      <c r="C762" s="4"/>
      <c r="D762" s="4"/>
      <c r="E762" s="4"/>
    </row>
    <row r="763" spans="1:5" ht="15.75" customHeight="1" x14ac:dyDescent="0.3">
      <c r="A763" s="4"/>
      <c r="B763" s="4"/>
      <c r="C763" s="4"/>
      <c r="D763" s="4"/>
      <c r="E763" s="4"/>
    </row>
    <row r="764" spans="1:5" ht="15.75" customHeight="1" x14ac:dyDescent="0.3">
      <c r="A764" s="4"/>
      <c r="B764" s="4"/>
      <c r="C764" s="4"/>
      <c r="D764" s="4"/>
      <c r="E764" s="4"/>
    </row>
    <row r="765" spans="1:5" ht="15.75" customHeight="1" x14ac:dyDescent="0.3">
      <c r="A765" s="4"/>
      <c r="B765" s="4"/>
      <c r="C765" s="4"/>
      <c r="D765" s="4"/>
      <c r="E765" s="4"/>
    </row>
    <row r="766" spans="1:5" ht="15.75" customHeight="1" x14ac:dyDescent="0.3">
      <c r="A766" s="4"/>
      <c r="B766" s="4"/>
      <c r="C766" s="4"/>
      <c r="D766" s="4"/>
      <c r="E766" s="4"/>
    </row>
    <row r="767" spans="1:5" ht="15.75" customHeight="1" x14ac:dyDescent="0.3">
      <c r="A767" s="4"/>
      <c r="B767" s="4"/>
      <c r="C767" s="4"/>
      <c r="D767" s="4"/>
      <c r="E767" s="4"/>
    </row>
    <row r="768" spans="1:5" ht="15.75" customHeight="1" x14ac:dyDescent="0.3">
      <c r="A768" s="4"/>
      <c r="B768" s="4"/>
      <c r="C768" s="4"/>
      <c r="D768" s="4"/>
      <c r="E768" s="4"/>
    </row>
    <row r="769" spans="1:5" ht="15.75" customHeight="1" x14ac:dyDescent="0.3">
      <c r="A769" s="4"/>
      <c r="B769" s="4"/>
      <c r="C769" s="4"/>
      <c r="D769" s="4"/>
      <c r="E769" s="4"/>
    </row>
    <row r="770" spans="1:5" ht="15.75" customHeight="1" x14ac:dyDescent="0.3">
      <c r="A770" s="4"/>
      <c r="B770" s="4"/>
      <c r="C770" s="4"/>
      <c r="D770" s="4"/>
      <c r="E770" s="4"/>
    </row>
    <row r="771" spans="1:5" ht="15.75" customHeight="1" x14ac:dyDescent="0.3">
      <c r="A771" s="4"/>
      <c r="B771" s="4"/>
      <c r="C771" s="4"/>
      <c r="D771" s="4"/>
      <c r="E771" s="4"/>
    </row>
    <row r="772" spans="1:5" ht="15.75" customHeight="1" x14ac:dyDescent="0.3">
      <c r="A772" s="4"/>
      <c r="B772" s="4"/>
      <c r="C772" s="4"/>
      <c r="D772" s="4"/>
      <c r="E772" s="4"/>
    </row>
    <row r="773" spans="1:5" ht="15.75" customHeight="1" x14ac:dyDescent="0.3">
      <c r="A773" s="4"/>
      <c r="B773" s="4"/>
      <c r="C773" s="4"/>
      <c r="D773" s="4"/>
      <c r="E773" s="4"/>
    </row>
    <row r="774" spans="1:5" ht="15.75" customHeight="1" x14ac:dyDescent="0.3">
      <c r="A774" s="4"/>
      <c r="B774" s="4"/>
      <c r="C774" s="4"/>
      <c r="D774" s="4"/>
      <c r="E774" s="4"/>
    </row>
    <row r="775" spans="1:5" ht="15.75" customHeight="1" x14ac:dyDescent="0.3">
      <c r="A775" s="4"/>
      <c r="B775" s="4"/>
      <c r="C775" s="4"/>
      <c r="D775" s="4"/>
      <c r="E775" s="4"/>
    </row>
    <row r="776" spans="1:5" ht="15.75" customHeight="1" x14ac:dyDescent="0.3">
      <c r="A776" s="4"/>
      <c r="B776" s="4"/>
      <c r="C776" s="4"/>
      <c r="D776" s="4"/>
      <c r="E776" s="4"/>
    </row>
    <row r="777" spans="1:5" ht="15.75" customHeight="1" x14ac:dyDescent="0.3">
      <c r="A777" s="4"/>
      <c r="B777" s="4"/>
      <c r="C777" s="4"/>
      <c r="D777" s="4"/>
      <c r="E777" s="4"/>
    </row>
    <row r="778" spans="1:5" ht="15.75" customHeight="1" x14ac:dyDescent="0.3">
      <c r="A778" s="4"/>
      <c r="B778" s="4"/>
      <c r="C778" s="4"/>
      <c r="D778" s="4"/>
      <c r="E778" s="4"/>
    </row>
    <row r="779" spans="1:5" ht="15.75" customHeight="1" x14ac:dyDescent="0.3">
      <c r="A779" s="4"/>
      <c r="B779" s="4"/>
      <c r="C779" s="4"/>
      <c r="D779" s="4"/>
      <c r="E779" s="4"/>
    </row>
    <row r="780" spans="1:5" ht="15.75" customHeight="1" x14ac:dyDescent="0.3">
      <c r="A780" s="4"/>
      <c r="B780" s="4"/>
      <c r="C780" s="4"/>
      <c r="D780" s="4"/>
      <c r="E780" s="4"/>
    </row>
    <row r="781" spans="1:5" ht="15.75" customHeight="1" x14ac:dyDescent="0.3">
      <c r="A781" s="4"/>
      <c r="B781" s="4"/>
      <c r="C781" s="4"/>
      <c r="D781" s="4"/>
      <c r="E781" s="4"/>
    </row>
    <row r="782" spans="1:5" ht="15.75" customHeight="1" x14ac:dyDescent="0.3">
      <c r="A782" s="4"/>
      <c r="B782" s="4"/>
      <c r="C782" s="4"/>
      <c r="D782" s="4"/>
      <c r="E782" s="4"/>
    </row>
    <row r="783" spans="1:5" ht="15.75" customHeight="1" x14ac:dyDescent="0.3">
      <c r="A783" s="4"/>
      <c r="B783" s="4"/>
      <c r="C783" s="4"/>
      <c r="D783" s="4"/>
      <c r="E783" s="4"/>
    </row>
    <row r="784" spans="1:5" ht="15.75" customHeight="1" x14ac:dyDescent="0.3">
      <c r="A784" s="4"/>
      <c r="B784" s="4"/>
      <c r="C784" s="4"/>
      <c r="D784" s="4"/>
      <c r="E784" s="4"/>
    </row>
    <row r="785" spans="1:5" ht="15.75" customHeight="1" x14ac:dyDescent="0.3">
      <c r="A785" s="4"/>
      <c r="B785" s="4"/>
      <c r="C785" s="4"/>
      <c r="D785" s="4"/>
      <c r="E785" s="4"/>
    </row>
    <row r="786" spans="1:5" ht="15.75" customHeight="1" x14ac:dyDescent="0.3">
      <c r="A786" s="4"/>
      <c r="B786" s="4"/>
      <c r="C786" s="4"/>
      <c r="D786" s="4"/>
      <c r="E786" s="4"/>
    </row>
    <row r="787" spans="1:5" ht="15.75" customHeight="1" x14ac:dyDescent="0.3">
      <c r="A787" s="4"/>
      <c r="B787" s="4"/>
      <c r="C787" s="4"/>
      <c r="D787" s="4"/>
      <c r="E787" s="4"/>
    </row>
    <row r="788" spans="1:5" ht="15.75" customHeight="1" x14ac:dyDescent="0.3">
      <c r="A788" s="4"/>
      <c r="B788" s="4"/>
      <c r="C788" s="4"/>
      <c r="D788" s="4"/>
      <c r="E788" s="4"/>
    </row>
    <row r="789" spans="1:5" ht="15.75" customHeight="1" x14ac:dyDescent="0.3">
      <c r="A789" s="4"/>
      <c r="B789" s="4"/>
      <c r="C789" s="4"/>
      <c r="D789" s="4"/>
      <c r="E789" s="4"/>
    </row>
    <row r="790" spans="1:5" ht="15.75" customHeight="1" x14ac:dyDescent="0.3">
      <c r="A790" s="4"/>
      <c r="B790" s="4"/>
      <c r="C790" s="4"/>
      <c r="D790" s="4"/>
      <c r="E790" s="4"/>
    </row>
    <row r="791" spans="1:5" ht="15.75" customHeight="1" x14ac:dyDescent="0.3">
      <c r="A791" s="4"/>
      <c r="B791" s="4"/>
      <c r="C791" s="4"/>
      <c r="D791" s="4"/>
      <c r="E791" s="4"/>
    </row>
    <row r="792" spans="1:5" ht="15.75" customHeight="1" x14ac:dyDescent="0.3">
      <c r="A792" s="4"/>
      <c r="B792" s="4"/>
      <c r="C792" s="4"/>
      <c r="D792" s="4"/>
      <c r="E792" s="4"/>
    </row>
    <row r="793" spans="1:5" ht="15.75" customHeight="1" x14ac:dyDescent="0.3">
      <c r="A793" s="4"/>
      <c r="B793" s="4"/>
      <c r="C793" s="4"/>
      <c r="D793" s="4"/>
      <c r="E793" s="4"/>
    </row>
    <row r="794" spans="1:5" ht="15.75" customHeight="1" x14ac:dyDescent="0.3">
      <c r="A794" s="4"/>
      <c r="B794" s="4"/>
      <c r="C794" s="4"/>
      <c r="D794" s="4"/>
      <c r="E794" s="4"/>
    </row>
    <row r="795" spans="1:5" ht="15.75" customHeight="1" x14ac:dyDescent="0.3">
      <c r="A795" s="4"/>
      <c r="B795" s="4"/>
      <c r="C795" s="4"/>
      <c r="D795" s="4"/>
      <c r="E795" s="4"/>
    </row>
    <row r="796" spans="1:5" ht="15.75" customHeight="1" x14ac:dyDescent="0.3">
      <c r="A796" s="4"/>
      <c r="B796" s="4"/>
      <c r="C796" s="4"/>
      <c r="D796" s="4"/>
      <c r="E796" s="4"/>
    </row>
    <row r="797" spans="1:5" ht="15.75" customHeight="1" x14ac:dyDescent="0.3">
      <c r="A797" s="4"/>
      <c r="B797" s="4"/>
      <c r="C797" s="4"/>
      <c r="D797" s="4"/>
      <c r="E797" s="4"/>
    </row>
    <row r="798" spans="1:5" ht="15.75" customHeight="1" x14ac:dyDescent="0.3">
      <c r="A798" s="4"/>
      <c r="B798" s="4"/>
      <c r="C798" s="4"/>
      <c r="D798" s="4"/>
      <c r="E798" s="4"/>
    </row>
    <row r="799" spans="1:5" ht="15.75" customHeight="1" x14ac:dyDescent="0.3">
      <c r="A799" s="4"/>
      <c r="B799" s="4"/>
      <c r="C799" s="4"/>
      <c r="D799" s="4"/>
      <c r="E799" s="4"/>
    </row>
    <row r="800" spans="1:5" ht="15.75" customHeight="1" x14ac:dyDescent="0.3">
      <c r="A800" s="4"/>
      <c r="B800" s="4"/>
      <c r="C800" s="4"/>
      <c r="D800" s="4"/>
      <c r="E800" s="4"/>
    </row>
    <row r="801" spans="1:5" ht="15.75" customHeight="1" x14ac:dyDescent="0.3">
      <c r="A801" s="4"/>
      <c r="B801" s="4"/>
      <c r="C801" s="4"/>
      <c r="D801" s="4"/>
      <c r="E801" s="4"/>
    </row>
    <row r="802" spans="1:5" ht="15.75" customHeight="1" x14ac:dyDescent="0.3">
      <c r="A802" s="4"/>
      <c r="B802" s="4"/>
      <c r="C802" s="4"/>
      <c r="D802" s="4"/>
      <c r="E802" s="4"/>
    </row>
    <row r="803" spans="1:5" ht="15.75" customHeight="1" x14ac:dyDescent="0.3">
      <c r="A803" s="4"/>
      <c r="B803" s="4"/>
      <c r="C803" s="4"/>
      <c r="D803" s="4"/>
      <c r="E803" s="4"/>
    </row>
    <row r="804" spans="1:5" ht="15.75" customHeight="1" x14ac:dyDescent="0.3">
      <c r="A804" s="4"/>
      <c r="B804" s="4"/>
      <c r="C804" s="4"/>
      <c r="D804" s="4"/>
      <c r="E804" s="4"/>
    </row>
    <row r="805" spans="1:5" ht="15.75" customHeight="1" x14ac:dyDescent="0.3">
      <c r="A805" s="4"/>
      <c r="B805" s="4"/>
      <c r="C805" s="4"/>
      <c r="D805" s="4"/>
      <c r="E805" s="4"/>
    </row>
    <row r="806" spans="1:5" ht="15.75" customHeight="1" x14ac:dyDescent="0.3">
      <c r="A806" s="4"/>
      <c r="B806" s="4"/>
      <c r="C806" s="4"/>
      <c r="D806" s="4"/>
      <c r="E806" s="4"/>
    </row>
    <row r="807" spans="1:5" ht="15.75" customHeight="1" x14ac:dyDescent="0.3">
      <c r="A807" s="4"/>
      <c r="B807" s="4"/>
      <c r="C807" s="4"/>
      <c r="D807" s="4"/>
      <c r="E807" s="4"/>
    </row>
    <row r="808" spans="1:5" ht="15.75" customHeight="1" x14ac:dyDescent="0.3">
      <c r="A808" s="4"/>
      <c r="B808" s="4"/>
      <c r="C808" s="4"/>
      <c r="D808" s="4"/>
      <c r="E808" s="4"/>
    </row>
    <row r="809" spans="1:5" ht="15.75" customHeight="1" x14ac:dyDescent="0.3">
      <c r="A809" s="4"/>
      <c r="B809" s="4"/>
      <c r="C809" s="4"/>
      <c r="D809" s="4"/>
      <c r="E809" s="4"/>
    </row>
    <row r="810" spans="1:5" ht="15.75" customHeight="1" x14ac:dyDescent="0.3">
      <c r="A810" s="4"/>
      <c r="B810" s="4"/>
      <c r="C810" s="4"/>
      <c r="D810" s="4"/>
      <c r="E810" s="4"/>
    </row>
    <row r="811" spans="1:5" ht="15.75" customHeight="1" x14ac:dyDescent="0.3">
      <c r="A811" s="4"/>
      <c r="B811" s="4"/>
      <c r="C811" s="4"/>
      <c r="D811" s="4"/>
      <c r="E811" s="4"/>
    </row>
    <row r="812" spans="1:5" ht="15.75" customHeight="1" x14ac:dyDescent="0.3">
      <c r="A812" s="4"/>
      <c r="B812" s="4"/>
      <c r="C812" s="4"/>
      <c r="D812" s="4"/>
      <c r="E812" s="4"/>
    </row>
    <row r="813" spans="1:5" ht="15.75" customHeight="1" x14ac:dyDescent="0.3">
      <c r="A813" s="4"/>
      <c r="B813" s="4"/>
      <c r="C813" s="4"/>
      <c r="D813" s="4"/>
      <c r="E813" s="4"/>
    </row>
    <row r="814" spans="1:5" ht="15.75" customHeight="1" x14ac:dyDescent="0.3">
      <c r="A814" s="4"/>
      <c r="B814" s="4"/>
      <c r="C814" s="4"/>
      <c r="D814" s="4"/>
      <c r="E814" s="4"/>
    </row>
    <row r="815" spans="1:5" ht="15.75" customHeight="1" x14ac:dyDescent="0.3">
      <c r="A815" s="4"/>
      <c r="B815" s="4"/>
      <c r="C815" s="4"/>
      <c r="D815" s="4"/>
      <c r="E815" s="4"/>
    </row>
    <row r="816" spans="1:5" ht="15.75" customHeight="1" x14ac:dyDescent="0.3">
      <c r="A816" s="4"/>
      <c r="B816" s="4"/>
      <c r="C816" s="4"/>
      <c r="D816" s="4"/>
      <c r="E816" s="4"/>
    </row>
    <row r="817" spans="1:5" ht="15.75" customHeight="1" x14ac:dyDescent="0.3">
      <c r="A817" s="4"/>
      <c r="B817" s="4"/>
      <c r="C817" s="4"/>
      <c r="D817" s="4"/>
      <c r="E817" s="4"/>
    </row>
    <row r="818" spans="1:5" ht="15.75" customHeight="1" x14ac:dyDescent="0.3">
      <c r="A818" s="4"/>
      <c r="B818" s="4"/>
      <c r="C818" s="4"/>
      <c r="D818" s="4"/>
      <c r="E818" s="4"/>
    </row>
    <row r="819" spans="1:5" ht="15.75" customHeight="1" x14ac:dyDescent="0.3">
      <c r="A819" s="4"/>
      <c r="B819" s="4"/>
      <c r="C819" s="4"/>
      <c r="D819" s="4"/>
      <c r="E819" s="4"/>
    </row>
    <row r="820" spans="1:5" ht="15.75" customHeight="1" x14ac:dyDescent="0.3">
      <c r="A820" s="4"/>
      <c r="B820" s="4"/>
      <c r="C820" s="4"/>
      <c r="D820" s="4"/>
      <c r="E820" s="4"/>
    </row>
    <row r="821" spans="1:5" ht="15.75" customHeight="1" x14ac:dyDescent="0.3">
      <c r="A821" s="4"/>
      <c r="B821" s="4"/>
      <c r="C821" s="4"/>
      <c r="D821" s="4"/>
      <c r="E821" s="4"/>
    </row>
    <row r="822" spans="1:5" ht="15.75" customHeight="1" x14ac:dyDescent="0.3">
      <c r="A822" s="4"/>
      <c r="B822" s="4"/>
      <c r="C822" s="4"/>
      <c r="D822" s="4"/>
      <c r="E822" s="4"/>
    </row>
    <row r="823" spans="1:5" ht="15.75" customHeight="1" x14ac:dyDescent="0.3">
      <c r="A823" s="4"/>
      <c r="B823" s="4"/>
      <c r="C823" s="4"/>
      <c r="D823" s="4"/>
      <c r="E823" s="4"/>
    </row>
    <row r="824" spans="1:5" ht="15.75" customHeight="1" x14ac:dyDescent="0.3">
      <c r="A824" s="4"/>
      <c r="B824" s="4"/>
      <c r="C824" s="4"/>
      <c r="D824" s="4"/>
      <c r="E824" s="4"/>
    </row>
    <row r="825" spans="1:5" ht="15.75" customHeight="1" x14ac:dyDescent="0.3">
      <c r="A825" s="4"/>
      <c r="B825" s="4"/>
      <c r="C825" s="4"/>
      <c r="D825" s="4"/>
      <c r="E825" s="4"/>
    </row>
    <row r="826" spans="1:5" ht="15.75" customHeight="1" x14ac:dyDescent="0.3">
      <c r="A826" s="4"/>
      <c r="B826" s="4"/>
      <c r="C826" s="4"/>
      <c r="D826" s="4"/>
      <c r="E826" s="4"/>
    </row>
    <row r="827" spans="1:5" ht="15.75" customHeight="1" x14ac:dyDescent="0.3">
      <c r="A827" s="4"/>
      <c r="B827" s="4"/>
      <c r="C827" s="4"/>
      <c r="D827" s="4"/>
      <c r="E827" s="4"/>
    </row>
    <row r="828" spans="1:5" ht="15.75" customHeight="1" x14ac:dyDescent="0.3">
      <c r="A828" s="4"/>
      <c r="B828" s="4"/>
      <c r="C828" s="4"/>
      <c r="D828" s="4"/>
      <c r="E828" s="4"/>
    </row>
    <row r="829" spans="1:5" ht="15.75" customHeight="1" x14ac:dyDescent="0.3">
      <c r="A829" s="4"/>
      <c r="B829" s="4"/>
      <c r="C829" s="4"/>
      <c r="D829" s="4"/>
      <c r="E829" s="4"/>
    </row>
    <row r="830" spans="1:5" ht="15.75" customHeight="1" x14ac:dyDescent="0.3">
      <c r="A830" s="4"/>
      <c r="B830" s="4"/>
      <c r="C830" s="4"/>
      <c r="D830" s="4"/>
      <c r="E830" s="4"/>
    </row>
    <row r="831" spans="1:5" ht="15.75" customHeight="1" x14ac:dyDescent="0.3">
      <c r="A831" s="4"/>
      <c r="B831" s="4"/>
      <c r="C831" s="4"/>
      <c r="D831" s="4"/>
      <c r="E831" s="4"/>
    </row>
    <row r="832" spans="1:5" ht="15.75" customHeight="1" x14ac:dyDescent="0.3">
      <c r="A832" s="4"/>
      <c r="B832" s="4"/>
      <c r="C832" s="4"/>
      <c r="D832" s="4"/>
      <c r="E832" s="4"/>
    </row>
    <row r="833" spans="1:5" ht="15.75" customHeight="1" x14ac:dyDescent="0.3">
      <c r="A833" s="4"/>
      <c r="B833" s="4"/>
      <c r="C833" s="4"/>
      <c r="D833" s="4"/>
      <c r="E833" s="4"/>
    </row>
    <row r="834" spans="1:5" ht="15.75" customHeight="1" x14ac:dyDescent="0.3">
      <c r="A834" s="4"/>
      <c r="B834" s="4"/>
      <c r="C834" s="4"/>
      <c r="D834" s="4"/>
      <c r="E834" s="4"/>
    </row>
    <row r="835" spans="1:5" ht="15.75" customHeight="1" x14ac:dyDescent="0.3">
      <c r="A835" s="4"/>
      <c r="B835" s="4"/>
      <c r="C835" s="4"/>
      <c r="D835" s="4"/>
      <c r="E835" s="4"/>
    </row>
    <row r="836" spans="1:5" ht="15.75" customHeight="1" x14ac:dyDescent="0.3">
      <c r="A836" s="4"/>
      <c r="B836" s="4"/>
      <c r="C836" s="4"/>
      <c r="D836" s="4"/>
      <c r="E836" s="4"/>
    </row>
    <row r="837" spans="1:5" ht="15.75" customHeight="1" x14ac:dyDescent="0.3">
      <c r="A837" s="4"/>
      <c r="B837" s="4"/>
      <c r="C837" s="4"/>
      <c r="D837" s="4"/>
      <c r="E837" s="4"/>
    </row>
    <row r="838" spans="1:5" ht="15.75" customHeight="1" x14ac:dyDescent="0.3">
      <c r="A838" s="4"/>
      <c r="B838" s="4"/>
      <c r="C838" s="4"/>
      <c r="D838" s="4"/>
      <c r="E838" s="4"/>
    </row>
    <row r="839" spans="1:5" ht="15.75" customHeight="1" x14ac:dyDescent="0.3">
      <c r="A839" s="4"/>
      <c r="B839" s="4"/>
      <c r="C839" s="4"/>
      <c r="D839" s="4"/>
      <c r="E839" s="4"/>
    </row>
    <row r="840" spans="1:5" ht="15.75" customHeight="1" x14ac:dyDescent="0.3">
      <c r="A840" s="4"/>
      <c r="B840" s="4"/>
      <c r="C840" s="4"/>
      <c r="D840" s="4"/>
      <c r="E840" s="4"/>
    </row>
    <row r="841" spans="1:5" ht="15.75" customHeight="1" x14ac:dyDescent="0.3">
      <c r="A841" s="4"/>
      <c r="B841" s="4"/>
      <c r="C841" s="4"/>
      <c r="D841" s="4"/>
      <c r="E841" s="4"/>
    </row>
    <row r="842" spans="1:5" ht="15.75" customHeight="1" x14ac:dyDescent="0.3">
      <c r="A842" s="4"/>
      <c r="B842" s="4"/>
      <c r="C842" s="4"/>
      <c r="D842" s="4"/>
      <c r="E842" s="4"/>
    </row>
    <row r="843" spans="1:5" ht="15.75" customHeight="1" x14ac:dyDescent="0.3">
      <c r="A843" s="4"/>
      <c r="B843" s="4"/>
      <c r="C843" s="4"/>
      <c r="D843" s="4"/>
      <c r="E843" s="4"/>
    </row>
    <row r="844" spans="1:5" ht="15.75" customHeight="1" x14ac:dyDescent="0.3">
      <c r="A844" s="4"/>
      <c r="B844" s="4"/>
      <c r="C844" s="4"/>
      <c r="D844" s="4"/>
      <c r="E844" s="4"/>
    </row>
    <row r="845" spans="1:5" ht="15.75" customHeight="1" x14ac:dyDescent="0.3">
      <c r="A845" s="4"/>
      <c r="B845" s="4"/>
      <c r="C845" s="4"/>
      <c r="D845" s="4"/>
      <c r="E845" s="4"/>
    </row>
    <row r="846" spans="1:5" ht="15.75" customHeight="1" x14ac:dyDescent="0.3">
      <c r="A846" s="4"/>
      <c r="B846" s="4"/>
      <c r="C846" s="4"/>
      <c r="D846" s="4"/>
      <c r="E846" s="4"/>
    </row>
    <row r="847" spans="1:5" ht="15.75" customHeight="1" x14ac:dyDescent="0.3">
      <c r="A847" s="4"/>
      <c r="B847" s="4"/>
      <c r="C847" s="4"/>
      <c r="D847" s="4"/>
      <c r="E847" s="4"/>
    </row>
    <row r="848" spans="1:5" ht="15.75" customHeight="1" x14ac:dyDescent="0.3">
      <c r="A848" s="4"/>
      <c r="B848" s="4"/>
      <c r="C848" s="4"/>
      <c r="D848" s="4"/>
      <c r="E848" s="4"/>
    </row>
    <row r="849" spans="1:5" ht="15.75" customHeight="1" x14ac:dyDescent="0.3">
      <c r="A849" s="4"/>
      <c r="B849" s="4"/>
      <c r="C849" s="4"/>
      <c r="D849" s="4"/>
      <c r="E849" s="4"/>
    </row>
    <row r="850" spans="1:5" ht="15.75" customHeight="1" x14ac:dyDescent="0.3">
      <c r="A850" s="4"/>
      <c r="B850" s="4"/>
      <c r="C850" s="4"/>
      <c r="D850" s="4"/>
      <c r="E850" s="4"/>
    </row>
    <row r="851" spans="1:5" ht="15.75" customHeight="1" x14ac:dyDescent="0.3">
      <c r="A851" s="4"/>
      <c r="B851" s="4"/>
      <c r="C851" s="4"/>
      <c r="D851" s="4"/>
      <c r="E851" s="4"/>
    </row>
    <row r="852" spans="1:5" ht="15.75" customHeight="1" x14ac:dyDescent="0.3">
      <c r="A852" s="4"/>
      <c r="B852" s="4"/>
      <c r="C852" s="4"/>
      <c r="D852" s="4"/>
      <c r="E852" s="4"/>
    </row>
    <row r="853" spans="1:5" ht="15.75" customHeight="1" x14ac:dyDescent="0.3">
      <c r="A853" s="4"/>
      <c r="B853" s="4"/>
      <c r="C853" s="4"/>
      <c r="D853" s="4"/>
      <c r="E853" s="4"/>
    </row>
    <row r="854" spans="1:5" ht="15.75" customHeight="1" x14ac:dyDescent="0.3">
      <c r="A854" s="4"/>
      <c r="B854" s="4"/>
      <c r="C854" s="4"/>
      <c r="D854" s="4"/>
      <c r="E854" s="4"/>
    </row>
    <row r="855" spans="1:5" ht="15.75" customHeight="1" x14ac:dyDescent="0.3">
      <c r="A855" s="4"/>
      <c r="B855" s="4"/>
      <c r="C855" s="4"/>
      <c r="D855" s="4"/>
      <c r="E855" s="4"/>
    </row>
    <row r="856" spans="1:5" ht="15.75" customHeight="1" x14ac:dyDescent="0.3">
      <c r="A856" s="4"/>
      <c r="B856" s="4"/>
      <c r="C856" s="4"/>
      <c r="D856" s="4"/>
      <c r="E856" s="4"/>
    </row>
    <row r="857" spans="1:5" ht="15.75" customHeight="1" x14ac:dyDescent="0.3">
      <c r="A857" s="4"/>
      <c r="B857" s="4"/>
      <c r="C857" s="4"/>
      <c r="D857" s="4"/>
      <c r="E857" s="4"/>
    </row>
    <row r="858" spans="1:5" ht="15.75" customHeight="1" x14ac:dyDescent="0.3">
      <c r="A858" s="4"/>
      <c r="B858" s="4"/>
      <c r="C858" s="4"/>
      <c r="D858" s="4"/>
      <c r="E858" s="4"/>
    </row>
    <row r="859" spans="1:5" ht="15.75" customHeight="1" x14ac:dyDescent="0.3">
      <c r="A859" s="4"/>
      <c r="B859" s="4"/>
      <c r="C859" s="4"/>
      <c r="D859" s="4"/>
      <c r="E859" s="4"/>
    </row>
    <row r="860" spans="1:5" ht="15.75" customHeight="1" x14ac:dyDescent="0.3">
      <c r="A860" s="4"/>
      <c r="B860" s="4"/>
      <c r="C860" s="4"/>
      <c r="D860" s="4"/>
      <c r="E860" s="4"/>
    </row>
    <row r="861" spans="1:5" ht="15.75" customHeight="1" x14ac:dyDescent="0.3">
      <c r="A861" s="4"/>
      <c r="B861" s="4"/>
      <c r="C861" s="4"/>
      <c r="D861" s="4"/>
      <c r="E861" s="4"/>
    </row>
    <row r="862" spans="1:5" ht="15.75" customHeight="1" x14ac:dyDescent="0.3">
      <c r="A862" s="4"/>
      <c r="B862" s="4"/>
      <c r="C862" s="4"/>
      <c r="D862" s="4"/>
      <c r="E862" s="4"/>
    </row>
    <row r="863" spans="1:5" ht="15.75" customHeight="1" x14ac:dyDescent="0.3">
      <c r="A863" s="4"/>
      <c r="B863" s="4"/>
      <c r="C863" s="4"/>
      <c r="D863" s="4"/>
      <c r="E863" s="4"/>
    </row>
    <row r="864" spans="1:5" ht="15.75" customHeight="1" x14ac:dyDescent="0.3">
      <c r="A864" s="4"/>
      <c r="B864" s="4"/>
      <c r="C864" s="4"/>
      <c r="D864" s="4"/>
      <c r="E864" s="4"/>
    </row>
    <row r="865" spans="1:5" ht="15.75" customHeight="1" x14ac:dyDescent="0.3">
      <c r="A865" s="4"/>
      <c r="B865" s="4"/>
      <c r="C865" s="4"/>
      <c r="D865" s="4"/>
      <c r="E865" s="4"/>
    </row>
    <row r="866" spans="1:5" ht="15.75" customHeight="1" x14ac:dyDescent="0.3">
      <c r="A866" s="4"/>
      <c r="B866" s="4"/>
      <c r="C866" s="4"/>
      <c r="D866" s="4"/>
      <c r="E866" s="4"/>
    </row>
    <row r="867" spans="1:5" ht="15.75" customHeight="1" x14ac:dyDescent="0.3">
      <c r="A867" s="4"/>
      <c r="B867" s="4"/>
      <c r="C867" s="4"/>
      <c r="D867" s="4"/>
      <c r="E867" s="4"/>
    </row>
    <row r="868" spans="1:5" ht="15.75" customHeight="1" x14ac:dyDescent="0.3">
      <c r="A868" s="4"/>
      <c r="B868" s="4"/>
      <c r="C868" s="4"/>
      <c r="D868" s="4"/>
      <c r="E868" s="4"/>
    </row>
    <row r="869" spans="1:5" ht="15.75" customHeight="1" x14ac:dyDescent="0.3">
      <c r="A869" s="4"/>
      <c r="B869" s="4"/>
      <c r="C869" s="4"/>
      <c r="D869" s="4"/>
      <c r="E869" s="4"/>
    </row>
    <row r="870" spans="1:5" ht="15.75" customHeight="1" x14ac:dyDescent="0.3">
      <c r="A870" s="4"/>
      <c r="B870" s="4"/>
      <c r="C870" s="4"/>
      <c r="D870" s="4"/>
      <c r="E870" s="4"/>
    </row>
    <row r="871" spans="1:5" ht="15.75" customHeight="1" x14ac:dyDescent="0.3">
      <c r="A871" s="4"/>
      <c r="B871" s="4"/>
      <c r="C871" s="4"/>
      <c r="D871" s="4"/>
      <c r="E871" s="4"/>
    </row>
    <row r="872" spans="1:5" ht="15.75" customHeight="1" x14ac:dyDescent="0.3">
      <c r="A872" s="4"/>
      <c r="B872" s="4"/>
      <c r="C872" s="4"/>
      <c r="D872" s="4"/>
      <c r="E872" s="4"/>
    </row>
    <row r="873" spans="1:5" ht="15.75" customHeight="1" x14ac:dyDescent="0.3">
      <c r="A873" s="4"/>
      <c r="B873" s="4"/>
      <c r="C873" s="4"/>
      <c r="D873" s="4"/>
      <c r="E873" s="4"/>
    </row>
    <row r="874" spans="1:5" ht="15.75" customHeight="1" x14ac:dyDescent="0.3">
      <c r="A874" s="4"/>
      <c r="B874" s="4"/>
      <c r="C874" s="4"/>
      <c r="D874" s="4"/>
      <c r="E874" s="4"/>
    </row>
    <row r="875" spans="1:5" ht="15.75" customHeight="1" x14ac:dyDescent="0.3">
      <c r="A875" s="4"/>
      <c r="B875" s="4"/>
      <c r="C875" s="4"/>
      <c r="D875" s="4"/>
      <c r="E875" s="4"/>
    </row>
    <row r="876" spans="1:5" ht="15.75" customHeight="1" x14ac:dyDescent="0.3">
      <c r="A876" s="4"/>
      <c r="B876" s="4"/>
      <c r="C876" s="4"/>
      <c r="D876" s="4"/>
      <c r="E876" s="4"/>
    </row>
    <row r="877" spans="1:5" ht="15.75" customHeight="1" x14ac:dyDescent="0.3">
      <c r="A877" s="4"/>
      <c r="B877" s="4"/>
      <c r="C877" s="4"/>
      <c r="D877" s="4"/>
      <c r="E877" s="4"/>
    </row>
    <row r="878" spans="1:5" ht="15.75" customHeight="1" x14ac:dyDescent="0.3">
      <c r="A878" s="4"/>
      <c r="B878" s="4"/>
      <c r="C878" s="4"/>
      <c r="D878" s="4"/>
      <c r="E878" s="4"/>
    </row>
    <row r="879" spans="1:5" ht="15.75" customHeight="1" x14ac:dyDescent="0.3">
      <c r="A879" s="4"/>
      <c r="B879" s="4"/>
      <c r="C879" s="4"/>
      <c r="D879" s="4"/>
      <c r="E879" s="4"/>
    </row>
    <row r="880" spans="1:5" ht="15.75" customHeight="1" x14ac:dyDescent="0.3">
      <c r="A880" s="4"/>
      <c r="B880" s="4"/>
      <c r="C880" s="4"/>
      <c r="D880" s="4"/>
      <c r="E880" s="4"/>
    </row>
    <row r="881" spans="1:5" ht="15.75" customHeight="1" x14ac:dyDescent="0.3">
      <c r="A881" s="4"/>
      <c r="B881" s="4"/>
      <c r="C881" s="4"/>
      <c r="D881" s="4"/>
      <c r="E881" s="4"/>
    </row>
    <row r="882" spans="1:5" ht="15.75" customHeight="1" x14ac:dyDescent="0.3">
      <c r="A882" s="4"/>
      <c r="B882" s="4"/>
      <c r="C882" s="4"/>
      <c r="D882" s="4"/>
      <c r="E882" s="4"/>
    </row>
    <row r="883" spans="1:5" ht="15.75" customHeight="1" x14ac:dyDescent="0.3">
      <c r="A883" s="4"/>
      <c r="B883" s="4"/>
      <c r="C883" s="4"/>
      <c r="D883" s="4"/>
      <c r="E883" s="4"/>
    </row>
    <row r="884" spans="1:5" ht="15.75" customHeight="1" x14ac:dyDescent="0.3">
      <c r="A884" s="4"/>
      <c r="B884" s="4"/>
      <c r="C884" s="4"/>
      <c r="D884" s="4"/>
      <c r="E884" s="4"/>
    </row>
    <row r="885" spans="1:5" ht="15.75" customHeight="1" x14ac:dyDescent="0.3">
      <c r="A885" s="4"/>
      <c r="B885" s="4"/>
      <c r="C885" s="4"/>
      <c r="D885" s="4"/>
      <c r="E885" s="4"/>
    </row>
    <row r="886" spans="1:5" ht="15.75" customHeight="1" x14ac:dyDescent="0.3">
      <c r="A886" s="4"/>
      <c r="B886" s="4"/>
      <c r="C886" s="4"/>
      <c r="D886" s="4"/>
      <c r="E886" s="4"/>
    </row>
    <row r="887" spans="1:5" ht="15.75" customHeight="1" x14ac:dyDescent="0.3">
      <c r="A887" s="4"/>
      <c r="B887" s="4"/>
      <c r="C887" s="4"/>
      <c r="D887" s="4"/>
      <c r="E887" s="4"/>
    </row>
    <row r="888" spans="1:5" ht="15.75" customHeight="1" x14ac:dyDescent="0.3">
      <c r="A888" s="4"/>
      <c r="B888" s="4"/>
      <c r="C888" s="4"/>
      <c r="D888" s="4"/>
      <c r="E888" s="4"/>
    </row>
    <row r="889" spans="1:5" ht="15.75" customHeight="1" x14ac:dyDescent="0.3">
      <c r="A889" s="4"/>
      <c r="B889" s="4"/>
      <c r="C889" s="4"/>
      <c r="D889" s="4"/>
      <c r="E889" s="4"/>
    </row>
    <row r="890" spans="1:5" ht="15.75" customHeight="1" x14ac:dyDescent="0.3">
      <c r="A890" s="4"/>
      <c r="B890" s="4"/>
      <c r="C890" s="4"/>
      <c r="D890" s="4"/>
      <c r="E890" s="4"/>
    </row>
    <row r="891" spans="1:5" ht="15.75" customHeight="1" x14ac:dyDescent="0.3">
      <c r="A891" s="4"/>
      <c r="B891" s="4"/>
      <c r="C891" s="4"/>
      <c r="D891" s="4"/>
      <c r="E891" s="4"/>
    </row>
    <row r="892" spans="1:5" ht="15.75" customHeight="1" x14ac:dyDescent="0.3">
      <c r="A892" s="4"/>
      <c r="B892" s="4"/>
      <c r="C892" s="4"/>
      <c r="D892" s="4"/>
      <c r="E892" s="4"/>
    </row>
    <row r="893" spans="1:5" ht="15.75" customHeight="1" x14ac:dyDescent="0.3">
      <c r="A893" s="4"/>
      <c r="B893" s="4"/>
      <c r="C893" s="4"/>
      <c r="D893" s="4"/>
      <c r="E893" s="4"/>
    </row>
    <row r="894" spans="1:5" ht="15.75" customHeight="1" x14ac:dyDescent="0.3">
      <c r="A894" s="4"/>
      <c r="B894" s="4"/>
      <c r="C894" s="4"/>
      <c r="D894" s="4"/>
      <c r="E894" s="4"/>
    </row>
    <row r="895" spans="1:5" ht="15.75" customHeight="1" x14ac:dyDescent="0.3">
      <c r="A895" s="4"/>
      <c r="B895" s="4"/>
      <c r="C895" s="4"/>
      <c r="D895" s="4"/>
      <c r="E895" s="4"/>
    </row>
    <row r="896" spans="1:5" ht="15.75" customHeight="1" x14ac:dyDescent="0.3">
      <c r="A896" s="4"/>
      <c r="B896" s="4"/>
      <c r="C896" s="4"/>
      <c r="D896" s="4"/>
      <c r="E896" s="4"/>
    </row>
    <row r="897" spans="1:5" ht="15.75" customHeight="1" x14ac:dyDescent="0.3">
      <c r="A897" s="4"/>
      <c r="B897" s="4"/>
      <c r="C897" s="4"/>
      <c r="D897" s="4"/>
      <c r="E897" s="4"/>
    </row>
    <row r="898" spans="1:5" ht="15.75" customHeight="1" x14ac:dyDescent="0.3">
      <c r="A898" s="4"/>
      <c r="B898" s="4"/>
      <c r="C898" s="4"/>
      <c r="D898" s="4"/>
      <c r="E898" s="4"/>
    </row>
    <row r="899" spans="1:5" ht="15.75" customHeight="1" x14ac:dyDescent="0.3">
      <c r="A899" s="4"/>
      <c r="B899" s="4"/>
      <c r="C899" s="4"/>
      <c r="D899" s="4"/>
      <c r="E899" s="4"/>
    </row>
    <row r="900" spans="1:5" ht="15.75" customHeight="1" x14ac:dyDescent="0.3">
      <c r="A900" s="4"/>
      <c r="B900" s="4"/>
      <c r="C900" s="4"/>
      <c r="D900" s="4"/>
      <c r="E900" s="4"/>
    </row>
    <row r="901" spans="1:5" ht="15.75" customHeight="1" x14ac:dyDescent="0.3">
      <c r="A901" s="4"/>
      <c r="B901" s="4"/>
      <c r="C901" s="4"/>
      <c r="D901" s="4"/>
      <c r="E901" s="4"/>
    </row>
    <row r="902" spans="1:5" ht="15.75" customHeight="1" x14ac:dyDescent="0.3">
      <c r="A902" s="4"/>
      <c r="B902" s="4"/>
      <c r="C902" s="4"/>
      <c r="D902" s="4"/>
      <c r="E902" s="4"/>
    </row>
    <row r="903" spans="1:5" ht="15.75" customHeight="1" x14ac:dyDescent="0.3">
      <c r="A903" s="4"/>
      <c r="B903" s="4"/>
      <c r="C903" s="4"/>
      <c r="D903" s="4"/>
      <c r="E903" s="4"/>
    </row>
    <row r="904" spans="1:5" ht="15.75" customHeight="1" x14ac:dyDescent="0.3">
      <c r="A904" s="4"/>
      <c r="B904" s="4"/>
      <c r="C904" s="4"/>
      <c r="D904" s="4"/>
      <c r="E904" s="4"/>
    </row>
    <row r="905" spans="1:5" ht="15.75" customHeight="1" x14ac:dyDescent="0.3">
      <c r="A905" s="4"/>
      <c r="B905" s="4"/>
      <c r="C905" s="4"/>
      <c r="D905" s="4"/>
      <c r="E905" s="4"/>
    </row>
    <row r="906" spans="1:5" ht="15.75" customHeight="1" x14ac:dyDescent="0.3">
      <c r="A906" s="4"/>
      <c r="B906" s="4"/>
      <c r="C906" s="4"/>
      <c r="D906" s="4"/>
      <c r="E906" s="4"/>
    </row>
    <row r="907" spans="1:5" ht="15.75" customHeight="1" x14ac:dyDescent="0.3">
      <c r="A907" s="4"/>
      <c r="B907" s="4"/>
      <c r="C907" s="4"/>
      <c r="D907" s="4"/>
      <c r="E907" s="4"/>
    </row>
    <row r="908" spans="1:5" ht="15.75" customHeight="1" x14ac:dyDescent="0.3">
      <c r="A908" s="4"/>
      <c r="B908" s="4"/>
      <c r="C908" s="4"/>
      <c r="D908" s="4"/>
      <c r="E908" s="4"/>
    </row>
    <row r="909" spans="1:5" ht="15.75" customHeight="1" x14ac:dyDescent="0.3">
      <c r="A909" s="4"/>
      <c r="B909" s="4"/>
      <c r="C909" s="4"/>
      <c r="D909" s="4"/>
      <c r="E909" s="4"/>
    </row>
    <row r="910" spans="1:5" ht="15.75" customHeight="1" x14ac:dyDescent="0.3">
      <c r="A910" s="4"/>
      <c r="B910" s="4"/>
      <c r="C910" s="4"/>
      <c r="D910" s="4"/>
      <c r="E910" s="4"/>
    </row>
    <row r="911" spans="1:5" ht="15.75" customHeight="1" x14ac:dyDescent="0.3">
      <c r="A911" s="4"/>
      <c r="B911" s="4"/>
      <c r="C911" s="4"/>
      <c r="D911" s="4"/>
      <c r="E911" s="4"/>
    </row>
    <row r="912" spans="1:5" ht="15.75" customHeight="1" x14ac:dyDescent="0.3">
      <c r="A912" s="4"/>
      <c r="B912" s="4"/>
      <c r="C912" s="4"/>
      <c r="D912" s="4"/>
      <c r="E912" s="4"/>
    </row>
    <row r="913" spans="1:5" ht="15.75" customHeight="1" x14ac:dyDescent="0.3">
      <c r="A913" s="4"/>
      <c r="B913" s="4"/>
      <c r="C913" s="4"/>
      <c r="D913" s="4"/>
      <c r="E913" s="4"/>
    </row>
    <row r="914" spans="1:5" ht="15.75" customHeight="1" x14ac:dyDescent="0.3">
      <c r="A914" s="4"/>
      <c r="B914" s="4"/>
      <c r="C914" s="4"/>
      <c r="D914" s="4"/>
      <c r="E914" s="4"/>
    </row>
    <row r="915" spans="1:5" ht="15.75" customHeight="1" x14ac:dyDescent="0.3">
      <c r="A915" s="4"/>
      <c r="B915" s="4"/>
      <c r="C915" s="4"/>
      <c r="D915" s="4"/>
      <c r="E915" s="4"/>
    </row>
    <row r="916" spans="1:5" ht="15.75" customHeight="1" x14ac:dyDescent="0.3">
      <c r="A916" s="4"/>
      <c r="B916" s="4"/>
      <c r="C916" s="4"/>
      <c r="D916" s="4"/>
      <c r="E916" s="4"/>
    </row>
    <row r="917" spans="1:5" ht="15.75" customHeight="1" x14ac:dyDescent="0.3">
      <c r="A917" s="4"/>
      <c r="B917" s="4"/>
      <c r="C917" s="4"/>
      <c r="D917" s="4"/>
      <c r="E917" s="4"/>
    </row>
    <row r="918" spans="1:5" ht="15.75" customHeight="1" x14ac:dyDescent="0.3">
      <c r="A918" s="4"/>
      <c r="B918" s="4"/>
      <c r="C918" s="4"/>
      <c r="D918" s="4"/>
      <c r="E918" s="4"/>
    </row>
    <row r="919" spans="1:5" ht="15.75" customHeight="1" x14ac:dyDescent="0.3">
      <c r="A919" s="4"/>
      <c r="B919" s="4"/>
      <c r="C919" s="4"/>
      <c r="D919" s="4"/>
      <c r="E919" s="4"/>
    </row>
    <row r="920" spans="1:5" ht="15.75" customHeight="1" x14ac:dyDescent="0.3">
      <c r="A920" s="4"/>
      <c r="B920" s="4"/>
      <c r="C920" s="4"/>
      <c r="D920" s="4"/>
      <c r="E920" s="4"/>
    </row>
    <row r="921" spans="1:5" ht="15.75" customHeight="1" x14ac:dyDescent="0.3">
      <c r="A921" s="4"/>
      <c r="B921" s="4"/>
      <c r="C921" s="4"/>
      <c r="D921" s="4"/>
      <c r="E921" s="4"/>
    </row>
    <row r="922" spans="1:5" ht="15.75" customHeight="1" x14ac:dyDescent="0.3">
      <c r="A922" s="4"/>
      <c r="B922" s="4"/>
      <c r="C922" s="4"/>
      <c r="D922" s="4"/>
      <c r="E922" s="4"/>
    </row>
    <row r="923" spans="1:5" ht="15.75" customHeight="1" x14ac:dyDescent="0.3">
      <c r="A923" s="4"/>
      <c r="B923" s="4"/>
      <c r="C923" s="4"/>
      <c r="D923" s="4"/>
      <c r="E923" s="4"/>
    </row>
    <row r="924" spans="1:5" ht="15.75" customHeight="1" x14ac:dyDescent="0.3">
      <c r="A924" s="4"/>
      <c r="B924" s="4"/>
      <c r="C924" s="4"/>
      <c r="D924" s="4"/>
      <c r="E924" s="4"/>
    </row>
    <row r="925" spans="1:5" ht="15.75" customHeight="1" x14ac:dyDescent="0.3">
      <c r="A925" s="4"/>
      <c r="B925" s="4"/>
      <c r="C925" s="4"/>
      <c r="D925" s="4"/>
      <c r="E925" s="4"/>
    </row>
    <row r="926" spans="1:5" ht="15.75" customHeight="1" x14ac:dyDescent="0.3">
      <c r="A926" s="4"/>
      <c r="B926" s="4"/>
      <c r="C926" s="4"/>
      <c r="D926" s="4"/>
      <c r="E926" s="4"/>
    </row>
    <row r="927" spans="1:5" ht="15.75" customHeight="1" x14ac:dyDescent="0.3">
      <c r="A927" s="4"/>
      <c r="B927" s="4"/>
      <c r="C927" s="4"/>
      <c r="D927" s="4"/>
      <c r="E927" s="4"/>
    </row>
    <row r="928" spans="1:5" ht="15.75" customHeight="1" x14ac:dyDescent="0.3">
      <c r="A928" s="4"/>
      <c r="B928" s="4"/>
      <c r="C928" s="4"/>
      <c r="D928" s="4"/>
      <c r="E928" s="4"/>
    </row>
    <row r="929" spans="1:5" ht="15.75" customHeight="1" x14ac:dyDescent="0.3">
      <c r="A929" s="4"/>
      <c r="B929" s="4"/>
      <c r="C929" s="4"/>
      <c r="D929" s="4"/>
      <c r="E929" s="4"/>
    </row>
    <row r="930" spans="1:5" ht="15.75" customHeight="1" x14ac:dyDescent="0.3">
      <c r="A930" s="4"/>
      <c r="B930" s="4"/>
      <c r="C930" s="4"/>
      <c r="D930" s="4"/>
      <c r="E930" s="4"/>
    </row>
    <row r="931" spans="1:5" ht="15.75" customHeight="1" x14ac:dyDescent="0.3">
      <c r="A931" s="4"/>
      <c r="B931" s="4"/>
      <c r="C931" s="4"/>
      <c r="D931" s="4"/>
      <c r="E931" s="4"/>
    </row>
    <row r="932" spans="1:5" ht="15.75" customHeight="1" x14ac:dyDescent="0.3">
      <c r="A932" s="4"/>
      <c r="B932" s="4"/>
      <c r="C932" s="4"/>
      <c r="D932" s="4"/>
      <c r="E932" s="4"/>
    </row>
    <row r="933" spans="1:5" ht="15.75" customHeight="1" x14ac:dyDescent="0.3">
      <c r="A933" s="4"/>
      <c r="B933" s="4"/>
      <c r="C933" s="4"/>
      <c r="D933" s="4"/>
      <c r="E933" s="4"/>
    </row>
    <row r="934" spans="1:5" ht="15.75" customHeight="1" x14ac:dyDescent="0.3">
      <c r="A934" s="4"/>
      <c r="B934" s="4"/>
      <c r="C934" s="4"/>
      <c r="D934" s="4"/>
      <c r="E934" s="4"/>
    </row>
    <row r="935" spans="1:5" ht="15.75" customHeight="1" x14ac:dyDescent="0.3">
      <c r="A935" s="4"/>
      <c r="B935" s="4"/>
      <c r="C935" s="4"/>
      <c r="D935" s="4"/>
      <c r="E935" s="4"/>
    </row>
    <row r="936" spans="1:5" ht="15.75" customHeight="1" x14ac:dyDescent="0.3">
      <c r="A936" s="4"/>
      <c r="B936" s="4"/>
      <c r="C936" s="4"/>
      <c r="D936" s="4"/>
      <c r="E936" s="4"/>
    </row>
    <row r="937" spans="1:5" ht="15.75" customHeight="1" x14ac:dyDescent="0.3">
      <c r="A937" s="4"/>
      <c r="B937" s="4"/>
      <c r="C937" s="4"/>
      <c r="D937" s="4"/>
      <c r="E937" s="4"/>
    </row>
    <row r="938" spans="1:5" ht="15.75" customHeight="1" x14ac:dyDescent="0.3">
      <c r="A938" s="4"/>
      <c r="B938" s="4"/>
      <c r="C938" s="4"/>
      <c r="D938" s="4"/>
      <c r="E938" s="4"/>
    </row>
    <row r="939" spans="1:5" ht="15.75" customHeight="1" x14ac:dyDescent="0.3">
      <c r="A939" s="4"/>
      <c r="B939" s="4"/>
      <c r="C939" s="4"/>
      <c r="D939" s="4"/>
      <c r="E939" s="4"/>
    </row>
    <row r="940" spans="1:5" ht="15.75" customHeight="1" x14ac:dyDescent="0.3">
      <c r="A940" s="4"/>
      <c r="B940" s="4"/>
      <c r="C940" s="4"/>
      <c r="D940" s="4"/>
      <c r="E940" s="4"/>
    </row>
    <row r="941" spans="1:5" ht="15.75" customHeight="1" x14ac:dyDescent="0.3">
      <c r="A941" s="4"/>
      <c r="B941" s="4"/>
      <c r="C941" s="4"/>
      <c r="D941" s="4"/>
      <c r="E941" s="4"/>
    </row>
    <row r="942" spans="1:5" ht="15.75" customHeight="1" x14ac:dyDescent="0.3">
      <c r="A942" s="4"/>
      <c r="B942" s="4"/>
      <c r="C942" s="4"/>
      <c r="D942" s="4"/>
      <c r="E942" s="4"/>
    </row>
    <row r="943" spans="1:5" ht="15.75" customHeight="1" x14ac:dyDescent="0.3">
      <c r="A943" s="4"/>
      <c r="B943" s="4"/>
      <c r="C943" s="4"/>
      <c r="D943" s="4"/>
      <c r="E943" s="4"/>
    </row>
    <row r="944" spans="1:5" ht="15.75" customHeight="1" x14ac:dyDescent="0.3">
      <c r="A944" s="4"/>
      <c r="B944" s="4"/>
      <c r="C944" s="4"/>
      <c r="D944" s="4"/>
      <c r="E944" s="4"/>
    </row>
    <row r="945" spans="1:5" ht="15.75" customHeight="1" x14ac:dyDescent="0.3">
      <c r="A945" s="4"/>
      <c r="B945" s="4"/>
      <c r="C945" s="4"/>
      <c r="D945" s="4"/>
      <c r="E945" s="4"/>
    </row>
    <row r="946" spans="1:5" ht="15.75" customHeight="1" x14ac:dyDescent="0.3">
      <c r="A946" s="4"/>
      <c r="B946" s="4"/>
      <c r="C946" s="4"/>
      <c r="D946" s="4"/>
      <c r="E946" s="4"/>
    </row>
    <row r="947" spans="1:5" ht="15.75" customHeight="1" x14ac:dyDescent="0.3">
      <c r="A947" s="4"/>
      <c r="B947" s="4"/>
      <c r="C947" s="4"/>
      <c r="D947" s="4"/>
      <c r="E947" s="4"/>
    </row>
    <row r="948" spans="1:5" ht="15.75" customHeight="1" x14ac:dyDescent="0.3">
      <c r="A948" s="4"/>
      <c r="B948" s="4"/>
      <c r="C948" s="4"/>
      <c r="D948" s="4"/>
      <c r="E948" s="4"/>
    </row>
    <row r="949" spans="1:5" ht="15.75" customHeight="1" x14ac:dyDescent="0.3">
      <c r="A949" s="4"/>
      <c r="B949" s="4"/>
      <c r="C949" s="4"/>
      <c r="D949" s="4"/>
      <c r="E949" s="4"/>
    </row>
    <row r="950" spans="1:5" ht="15.75" customHeight="1" x14ac:dyDescent="0.3">
      <c r="A950" s="4"/>
      <c r="B950" s="4"/>
      <c r="C950" s="4"/>
      <c r="D950" s="4"/>
      <c r="E950" s="4"/>
    </row>
    <row r="951" spans="1:5" ht="15.75" customHeight="1" x14ac:dyDescent="0.3">
      <c r="A951" s="4"/>
      <c r="B951" s="4"/>
      <c r="C951" s="4"/>
      <c r="D951" s="4"/>
      <c r="E951" s="4"/>
    </row>
    <row r="952" spans="1:5" ht="15.75" customHeight="1" x14ac:dyDescent="0.3">
      <c r="A952" s="4"/>
      <c r="B952" s="4"/>
      <c r="C952" s="4"/>
      <c r="D952" s="4"/>
      <c r="E952" s="4"/>
    </row>
    <row r="953" spans="1:5" ht="15.75" customHeight="1" x14ac:dyDescent="0.3">
      <c r="A953" s="4"/>
      <c r="B953" s="4"/>
      <c r="C953" s="4"/>
      <c r="D953" s="4"/>
      <c r="E953" s="4"/>
    </row>
    <row r="954" spans="1:5" ht="15.75" customHeight="1" x14ac:dyDescent="0.3">
      <c r="A954" s="4"/>
      <c r="B954" s="4"/>
      <c r="C954" s="4"/>
      <c r="D954" s="4"/>
      <c r="E954" s="4"/>
    </row>
    <row r="955" spans="1:5" ht="15.75" customHeight="1" x14ac:dyDescent="0.3">
      <c r="A955" s="4"/>
      <c r="B955" s="4"/>
      <c r="C955" s="4"/>
      <c r="D955" s="4"/>
      <c r="E955" s="4"/>
    </row>
    <row r="956" spans="1:5" ht="15.75" customHeight="1" x14ac:dyDescent="0.3">
      <c r="A956" s="4"/>
      <c r="B956" s="4"/>
      <c r="C956" s="4"/>
      <c r="D956" s="4"/>
      <c r="E956" s="4"/>
    </row>
    <row r="957" spans="1:5" ht="15.75" customHeight="1" x14ac:dyDescent="0.3">
      <c r="A957" s="4"/>
      <c r="B957" s="4"/>
      <c r="C957" s="4"/>
      <c r="D957" s="4"/>
      <c r="E957" s="4"/>
    </row>
    <row r="958" spans="1:5" ht="15.75" customHeight="1" x14ac:dyDescent="0.3">
      <c r="A958" s="4"/>
      <c r="B958" s="4"/>
      <c r="C958" s="4"/>
      <c r="D958" s="4"/>
      <c r="E958" s="4"/>
    </row>
    <row r="959" spans="1:5" ht="15.75" customHeight="1" x14ac:dyDescent="0.3">
      <c r="A959" s="4"/>
      <c r="B959" s="4"/>
      <c r="C959" s="4"/>
      <c r="D959" s="4"/>
      <c r="E959" s="4"/>
    </row>
    <row r="960" spans="1:5" ht="15.75" customHeight="1" x14ac:dyDescent="0.3">
      <c r="A960" s="4"/>
      <c r="B960" s="4"/>
      <c r="C960" s="4"/>
      <c r="D960" s="4"/>
      <c r="E960" s="4"/>
    </row>
    <row r="961" spans="1:5" ht="15.75" customHeight="1" x14ac:dyDescent="0.3">
      <c r="A961" s="4"/>
      <c r="B961" s="4"/>
      <c r="C961" s="4"/>
      <c r="D961" s="4"/>
      <c r="E961" s="4"/>
    </row>
    <row r="962" spans="1:5" ht="15.75" customHeight="1" x14ac:dyDescent="0.3">
      <c r="A962" s="4"/>
      <c r="B962" s="4"/>
      <c r="C962" s="4"/>
      <c r="D962" s="4"/>
      <c r="E962" s="4"/>
    </row>
    <row r="963" spans="1:5" ht="15.75" customHeight="1" x14ac:dyDescent="0.3">
      <c r="A963" s="4"/>
      <c r="B963" s="4"/>
      <c r="C963" s="4"/>
      <c r="D963" s="4"/>
      <c r="E963" s="4"/>
    </row>
    <row r="964" spans="1:5" ht="15.75" customHeight="1" x14ac:dyDescent="0.3">
      <c r="A964" s="4"/>
      <c r="B964" s="4"/>
      <c r="C964" s="4"/>
      <c r="D964" s="4"/>
      <c r="E964" s="4"/>
    </row>
    <row r="965" spans="1:5" ht="15.75" customHeight="1" x14ac:dyDescent="0.3">
      <c r="A965" s="4"/>
      <c r="B965" s="4"/>
      <c r="C965" s="4"/>
      <c r="D965" s="4"/>
      <c r="E965" s="4"/>
    </row>
    <row r="966" spans="1:5" ht="15.75" customHeight="1" x14ac:dyDescent="0.3">
      <c r="A966" s="4"/>
      <c r="B966" s="4"/>
      <c r="C966" s="4"/>
      <c r="D966" s="4"/>
      <c r="E966" s="4"/>
    </row>
    <row r="967" spans="1:5" ht="15.75" customHeight="1" x14ac:dyDescent="0.3">
      <c r="A967" s="4"/>
      <c r="B967" s="4"/>
      <c r="C967" s="4"/>
      <c r="D967" s="4"/>
      <c r="E967" s="4"/>
    </row>
    <row r="968" spans="1:5" ht="15.75" customHeight="1" x14ac:dyDescent="0.3">
      <c r="A968" s="4"/>
      <c r="B968" s="4"/>
      <c r="C968" s="4"/>
      <c r="D968" s="4"/>
      <c r="E968" s="4"/>
    </row>
    <row r="969" spans="1:5" ht="15.75" customHeight="1" x14ac:dyDescent="0.3">
      <c r="A969" s="4"/>
      <c r="B969" s="4"/>
      <c r="C969" s="4"/>
      <c r="D969" s="4"/>
      <c r="E969" s="4"/>
    </row>
    <row r="970" spans="1:5" ht="15.75" customHeight="1" x14ac:dyDescent="0.3">
      <c r="A970" s="4"/>
      <c r="B970" s="4"/>
      <c r="C970" s="4"/>
      <c r="D970" s="4"/>
      <c r="E970" s="4"/>
    </row>
    <row r="971" spans="1:5" ht="15.75" customHeight="1" x14ac:dyDescent="0.3">
      <c r="A971" s="4"/>
      <c r="B971" s="4"/>
      <c r="C971" s="4"/>
      <c r="D971" s="4"/>
      <c r="E971" s="4"/>
    </row>
    <row r="972" spans="1:5" ht="15.75" customHeight="1" x14ac:dyDescent="0.3">
      <c r="A972" s="4"/>
      <c r="B972" s="4"/>
      <c r="C972" s="4"/>
      <c r="D972" s="4"/>
      <c r="E972" s="4"/>
    </row>
    <row r="973" spans="1:5" ht="15.75" customHeight="1" x14ac:dyDescent="0.3">
      <c r="A973" s="4"/>
      <c r="B973" s="4"/>
      <c r="C973" s="4"/>
      <c r="D973" s="4"/>
      <c r="E973" s="4"/>
    </row>
    <row r="974" spans="1:5" ht="15.75" customHeight="1" x14ac:dyDescent="0.3">
      <c r="A974" s="4"/>
      <c r="B974" s="4"/>
      <c r="C974" s="4"/>
      <c r="D974" s="4"/>
      <c r="E974" s="4"/>
    </row>
    <row r="975" spans="1:5" ht="15.75" customHeight="1" x14ac:dyDescent="0.3">
      <c r="A975" s="4"/>
      <c r="B975" s="4"/>
      <c r="C975" s="4"/>
      <c r="D975" s="4"/>
      <c r="E975" s="4"/>
    </row>
    <row r="976" spans="1:5" ht="15.75" customHeight="1" x14ac:dyDescent="0.3">
      <c r="A976" s="4"/>
      <c r="B976" s="4"/>
      <c r="C976" s="4"/>
      <c r="D976" s="4"/>
      <c r="E976" s="4"/>
    </row>
    <row r="977" spans="1:5" ht="15.75" customHeight="1" x14ac:dyDescent="0.3">
      <c r="A977" s="4"/>
      <c r="B977" s="4"/>
      <c r="C977" s="4"/>
      <c r="D977" s="4"/>
      <c r="E977" s="4"/>
    </row>
    <row r="978" spans="1:5" ht="15.75" customHeight="1" x14ac:dyDescent="0.3">
      <c r="A978" s="4"/>
      <c r="B978" s="4"/>
      <c r="C978" s="4"/>
      <c r="D978" s="4"/>
      <c r="E978" s="4"/>
    </row>
    <row r="979" spans="1:5" ht="15.75" customHeight="1" x14ac:dyDescent="0.3">
      <c r="A979" s="4"/>
      <c r="B979" s="4"/>
      <c r="C979" s="4"/>
      <c r="D979" s="4"/>
      <c r="E979" s="4"/>
    </row>
    <row r="980" spans="1:5" ht="15.75" customHeight="1" x14ac:dyDescent="0.3">
      <c r="A980" s="4"/>
      <c r="B980" s="4"/>
      <c r="C980" s="4"/>
      <c r="D980" s="4"/>
      <c r="E980" s="4"/>
    </row>
    <row r="981" spans="1:5" ht="15.75" customHeight="1" x14ac:dyDescent="0.3">
      <c r="A981" s="4"/>
      <c r="B981" s="4"/>
      <c r="C981" s="4"/>
      <c r="D981" s="4"/>
      <c r="E981" s="4"/>
    </row>
    <row r="982" spans="1:5" ht="15.75" customHeight="1" x14ac:dyDescent="0.3">
      <c r="A982" s="4"/>
      <c r="B982" s="4"/>
      <c r="C982" s="4"/>
      <c r="D982" s="4"/>
      <c r="E982" s="4"/>
    </row>
    <row r="983" spans="1:5" ht="15.75" customHeight="1" x14ac:dyDescent="0.3">
      <c r="A983" s="4"/>
      <c r="B983" s="4"/>
      <c r="C983" s="4"/>
      <c r="D983" s="4"/>
      <c r="E983" s="4"/>
    </row>
    <row r="984" spans="1:5" ht="15.75" customHeight="1" x14ac:dyDescent="0.3">
      <c r="A984" s="4"/>
      <c r="B984" s="4"/>
      <c r="C984" s="4"/>
      <c r="D984" s="4"/>
      <c r="E984" s="4"/>
    </row>
    <row r="985" spans="1:5" ht="15.75" customHeight="1" x14ac:dyDescent="0.3">
      <c r="A985" s="4"/>
      <c r="B985" s="4"/>
      <c r="C985" s="4"/>
      <c r="D985" s="4"/>
      <c r="E985" s="4"/>
    </row>
    <row r="986" spans="1:5" ht="15.75" customHeight="1" x14ac:dyDescent="0.3">
      <c r="A986" s="4"/>
      <c r="B986" s="4"/>
      <c r="C986" s="4"/>
      <c r="D986" s="4"/>
      <c r="E986" s="4"/>
    </row>
    <row r="987" spans="1:5" ht="15.75" customHeight="1" x14ac:dyDescent="0.3">
      <c r="A987" s="4"/>
      <c r="B987" s="4"/>
      <c r="C987" s="4"/>
      <c r="D987" s="4"/>
      <c r="E987" s="4"/>
    </row>
    <row r="988" spans="1:5" ht="15.75" customHeight="1" x14ac:dyDescent="0.3">
      <c r="A988" s="4"/>
      <c r="B988" s="4"/>
      <c r="C988" s="4"/>
      <c r="D988" s="4"/>
      <c r="E988" s="4"/>
    </row>
    <row r="989" spans="1:5" ht="15.75" customHeight="1" x14ac:dyDescent="0.3">
      <c r="A989" s="4"/>
      <c r="B989" s="4"/>
      <c r="C989" s="4"/>
      <c r="D989" s="4"/>
      <c r="E989" s="4"/>
    </row>
    <row r="990" spans="1:5" ht="15.75" customHeight="1" x14ac:dyDescent="0.3">
      <c r="A990" s="4"/>
      <c r="B990" s="4"/>
      <c r="C990" s="4"/>
      <c r="D990" s="4"/>
      <c r="E990" s="4"/>
    </row>
    <row r="991" spans="1:5" ht="15.75" customHeight="1" x14ac:dyDescent="0.3">
      <c r="A991" s="4"/>
      <c r="B991" s="4"/>
      <c r="C991" s="4"/>
      <c r="D991" s="4"/>
      <c r="E991" s="4"/>
    </row>
    <row r="992" spans="1:5" ht="15.75" customHeight="1" x14ac:dyDescent="0.3">
      <c r="A992" s="4"/>
      <c r="B992" s="4"/>
      <c r="C992" s="4"/>
      <c r="D992" s="4"/>
      <c r="E992" s="4"/>
    </row>
    <row r="993" spans="1:5" ht="15.75" customHeight="1" x14ac:dyDescent="0.3">
      <c r="A993" s="4"/>
      <c r="B993" s="4"/>
      <c r="C993" s="4"/>
      <c r="D993" s="4"/>
      <c r="E993" s="4"/>
    </row>
    <row r="994" spans="1:5" ht="15.75" customHeight="1" x14ac:dyDescent="0.3">
      <c r="A994" s="4"/>
      <c r="B994" s="4"/>
      <c r="C994" s="4"/>
      <c r="D994" s="4"/>
      <c r="E994" s="4"/>
    </row>
    <row r="995" spans="1:5" ht="15.75" customHeight="1" x14ac:dyDescent="0.3">
      <c r="A995" s="4"/>
      <c r="B995" s="4"/>
      <c r="C995" s="4"/>
      <c r="D995" s="4"/>
      <c r="E995" s="4"/>
    </row>
    <row r="996" spans="1:5" ht="15.75" customHeight="1" x14ac:dyDescent="0.3">
      <c r="A996" s="4"/>
      <c r="B996" s="4"/>
      <c r="C996" s="4"/>
      <c r="D996" s="4"/>
      <c r="E996" s="4"/>
    </row>
    <row r="997" spans="1:5" ht="15.75" customHeight="1" x14ac:dyDescent="0.3">
      <c r="A997" s="4"/>
      <c r="B997" s="4"/>
      <c r="C997" s="4"/>
      <c r="D997" s="4"/>
      <c r="E997" s="4"/>
    </row>
    <row r="998" spans="1:5" ht="15.75" customHeight="1" x14ac:dyDescent="0.3">
      <c r="A998" s="4"/>
      <c r="B998" s="4"/>
      <c r="C998" s="4"/>
      <c r="D998" s="4"/>
      <c r="E998" s="4"/>
    </row>
    <row r="999" spans="1:5" ht="15.75" customHeight="1" x14ac:dyDescent="0.3">
      <c r="A999" s="4"/>
      <c r="B999" s="4"/>
      <c r="C999" s="4"/>
      <c r="D999" s="4"/>
      <c r="E999" s="4"/>
    </row>
    <row r="1000" spans="1:5" ht="15.75" customHeight="1" x14ac:dyDescent="0.3">
      <c r="A1000" s="4"/>
      <c r="B1000" s="4"/>
      <c r="C1000" s="4"/>
      <c r="D1000" s="4"/>
      <c r="E1000" s="4"/>
    </row>
  </sheetData>
  <mergeCells count="1">
    <mergeCell ref="A1:E1"/>
  </mergeCells>
  <phoneticPr fontId="14"/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4140625" defaultRowHeight="15" customHeight="1" x14ac:dyDescent="0.3"/>
  <cols>
    <col min="1" max="1" width="16" customWidth="1"/>
    <col min="2" max="2" width="22" customWidth="1"/>
    <col min="3" max="3" width="10" customWidth="1"/>
    <col min="4" max="4" width="18" customWidth="1"/>
    <col min="5" max="5" width="50" customWidth="1"/>
    <col min="6" max="6" width="38" customWidth="1"/>
    <col min="7" max="26" width="8.6640625" customWidth="1"/>
  </cols>
  <sheetData>
    <row r="1" spans="1:6" ht="21" customHeight="1" x14ac:dyDescent="0.5">
      <c r="A1" s="64" t="s">
        <v>1018</v>
      </c>
      <c r="B1" s="60"/>
      <c r="C1" s="60"/>
      <c r="D1" s="60"/>
      <c r="E1" s="60"/>
      <c r="F1" s="60"/>
    </row>
    <row r="2" spans="1:6" ht="14.4" x14ac:dyDescent="0.3">
      <c r="A2" s="4"/>
      <c r="B2" s="4"/>
      <c r="C2" s="4"/>
      <c r="D2" s="4"/>
      <c r="E2" s="4"/>
      <c r="F2" s="4"/>
    </row>
    <row r="3" spans="1:6" ht="15" customHeight="1" x14ac:dyDescent="0.3">
      <c r="A3" s="32" t="s">
        <v>1019</v>
      </c>
      <c r="B3" s="54" t="s">
        <v>897</v>
      </c>
      <c r="C3" s="32" t="s">
        <v>898</v>
      </c>
      <c r="D3" s="32" t="s">
        <v>899</v>
      </c>
      <c r="E3" s="32" t="s">
        <v>900</v>
      </c>
      <c r="F3" s="32" t="s">
        <v>1020</v>
      </c>
    </row>
    <row r="4" spans="1:6" ht="29.25" customHeight="1" x14ac:dyDescent="0.3">
      <c r="A4" s="17" t="s">
        <v>902</v>
      </c>
      <c r="B4" s="17" t="s">
        <v>903</v>
      </c>
      <c r="C4" s="19" t="s">
        <v>904</v>
      </c>
      <c r="D4" s="17" t="s">
        <v>905</v>
      </c>
      <c r="E4" s="17" t="s">
        <v>906</v>
      </c>
      <c r="F4" s="17" t="s">
        <v>1021</v>
      </c>
    </row>
    <row r="5" spans="1:6" ht="15" customHeight="1" x14ac:dyDescent="0.3">
      <c r="A5" s="17" t="s">
        <v>908</v>
      </c>
      <c r="B5" s="17" t="s">
        <v>1022</v>
      </c>
      <c r="C5" s="19" t="s">
        <v>910</v>
      </c>
      <c r="D5" s="17" t="s">
        <v>911</v>
      </c>
      <c r="E5" s="19" t="s">
        <v>912</v>
      </c>
      <c r="F5" s="19" t="s">
        <v>1023</v>
      </c>
    </row>
    <row r="6" spans="1:6" ht="15" customHeight="1" x14ac:dyDescent="0.3">
      <c r="A6" s="17" t="s">
        <v>914</v>
      </c>
      <c r="B6" s="17" t="s">
        <v>1022</v>
      </c>
      <c r="C6" s="19" t="s">
        <v>910</v>
      </c>
      <c r="D6" s="17" t="s">
        <v>915</v>
      </c>
      <c r="E6" s="19" t="s">
        <v>916</v>
      </c>
      <c r="F6" s="19" t="s">
        <v>921</v>
      </c>
    </row>
    <row r="7" spans="1:6" ht="15" customHeight="1" x14ac:dyDescent="0.3">
      <c r="A7" s="17" t="s">
        <v>918</v>
      </c>
      <c r="B7" s="17" t="s">
        <v>1022</v>
      </c>
      <c r="C7" s="19" t="s">
        <v>910</v>
      </c>
      <c r="D7" s="17" t="s">
        <v>1024</v>
      </c>
      <c r="E7" s="19" t="s">
        <v>920</v>
      </c>
      <c r="F7" s="17" t="s">
        <v>1025</v>
      </c>
    </row>
    <row r="8" spans="1:6" ht="29.25" customHeight="1" x14ac:dyDescent="0.3">
      <c r="A8" s="17" t="s">
        <v>922</v>
      </c>
      <c r="B8" s="17" t="s">
        <v>1026</v>
      </c>
      <c r="C8" s="19" t="s">
        <v>910</v>
      </c>
      <c r="D8" s="17" t="s">
        <v>924</v>
      </c>
      <c r="E8" s="19" t="s">
        <v>805</v>
      </c>
      <c r="F8" s="17" t="s">
        <v>905</v>
      </c>
    </row>
    <row r="9" spans="1:6" ht="14.4" x14ac:dyDescent="0.3">
      <c r="A9" s="4"/>
      <c r="B9" s="4"/>
      <c r="C9" s="4"/>
      <c r="D9" s="4"/>
      <c r="E9" s="4"/>
      <c r="F9" s="4"/>
    </row>
    <row r="10" spans="1:6" ht="14.4" x14ac:dyDescent="0.3">
      <c r="A10" s="4"/>
      <c r="B10" s="4"/>
      <c r="C10" s="4"/>
      <c r="D10" s="4"/>
      <c r="E10" s="4"/>
      <c r="F10" s="4"/>
    </row>
    <row r="11" spans="1:6" ht="14.4" x14ac:dyDescent="0.3">
      <c r="A11" s="4"/>
      <c r="B11" s="4"/>
      <c r="C11" s="4"/>
      <c r="D11" s="4"/>
      <c r="E11" s="4"/>
      <c r="F11" s="4"/>
    </row>
    <row r="12" spans="1:6" ht="14.4" x14ac:dyDescent="0.3">
      <c r="A12" s="4"/>
      <c r="B12" s="4"/>
      <c r="C12" s="4"/>
      <c r="D12" s="4"/>
      <c r="E12" s="4"/>
      <c r="F12" s="4"/>
    </row>
    <row r="13" spans="1:6" ht="14.4" x14ac:dyDescent="0.3">
      <c r="A13" s="4"/>
      <c r="B13" s="4"/>
      <c r="C13" s="4"/>
      <c r="D13" s="4"/>
      <c r="E13" s="4"/>
      <c r="F13" s="4"/>
    </row>
    <row r="14" spans="1:6" ht="14.4" x14ac:dyDescent="0.3">
      <c r="A14" s="4"/>
      <c r="B14" s="4"/>
      <c r="C14" s="4"/>
      <c r="D14" s="4"/>
      <c r="E14" s="4"/>
      <c r="F14" s="4"/>
    </row>
    <row r="15" spans="1:6" ht="14.4" x14ac:dyDescent="0.3">
      <c r="A15" s="4"/>
      <c r="B15" s="4"/>
      <c r="C15" s="4"/>
      <c r="D15" s="4"/>
      <c r="E15" s="4"/>
      <c r="F15" s="4"/>
    </row>
    <row r="16" spans="1:6" ht="14.4" x14ac:dyDescent="0.3">
      <c r="A16" s="4"/>
      <c r="B16" s="4"/>
      <c r="C16" s="4"/>
      <c r="D16" s="4"/>
      <c r="E16" s="4"/>
      <c r="F16" s="4"/>
    </row>
    <row r="17" spans="1:6" ht="14.4" x14ac:dyDescent="0.3">
      <c r="A17" s="4"/>
      <c r="B17" s="4"/>
      <c r="C17" s="4"/>
      <c r="D17" s="4"/>
      <c r="E17" s="4"/>
      <c r="F17" s="4"/>
    </row>
    <row r="18" spans="1:6" ht="14.4" x14ac:dyDescent="0.3">
      <c r="A18" s="4"/>
      <c r="B18" s="4"/>
      <c r="C18" s="4"/>
      <c r="D18" s="4"/>
      <c r="E18" s="4"/>
      <c r="F18" s="4"/>
    </row>
    <row r="19" spans="1:6" ht="14.4" x14ac:dyDescent="0.3">
      <c r="A19" s="4"/>
      <c r="B19" s="4"/>
      <c r="C19" s="4"/>
      <c r="D19" s="4"/>
      <c r="E19" s="4"/>
      <c r="F19" s="4"/>
    </row>
    <row r="20" spans="1:6" ht="14.4" x14ac:dyDescent="0.3">
      <c r="A20" s="4"/>
      <c r="B20" s="4"/>
      <c r="C20" s="4"/>
      <c r="D20" s="4"/>
      <c r="E20" s="4"/>
      <c r="F20" s="4"/>
    </row>
    <row r="21" spans="1:6" ht="15.75" customHeight="1" x14ac:dyDescent="0.3">
      <c r="A21" s="4"/>
      <c r="B21" s="4"/>
      <c r="C21" s="4"/>
      <c r="D21" s="4"/>
      <c r="E21" s="4"/>
      <c r="F21" s="4"/>
    </row>
    <row r="22" spans="1:6" ht="15.75" customHeight="1" x14ac:dyDescent="0.3">
      <c r="A22" s="4"/>
      <c r="B22" s="4"/>
      <c r="C22" s="4"/>
      <c r="D22" s="4"/>
      <c r="E22" s="4"/>
      <c r="F22" s="4"/>
    </row>
    <row r="23" spans="1:6" ht="15.75" customHeight="1" x14ac:dyDescent="0.3">
      <c r="A23" s="4"/>
      <c r="B23" s="4"/>
      <c r="C23" s="4"/>
      <c r="D23" s="4"/>
      <c r="E23" s="4"/>
      <c r="F23" s="4"/>
    </row>
    <row r="24" spans="1:6" ht="15.75" customHeight="1" x14ac:dyDescent="0.3">
      <c r="A24" s="4"/>
      <c r="B24" s="4"/>
      <c r="C24" s="4"/>
      <c r="D24" s="4"/>
      <c r="E24" s="4"/>
      <c r="F24" s="4"/>
    </row>
    <row r="25" spans="1:6" ht="15.75" customHeight="1" x14ac:dyDescent="0.3">
      <c r="A25" s="4"/>
      <c r="B25" s="4"/>
      <c r="C25" s="4"/>
      <c r="D25" s="4"/>
      <c r="E25" s="4"/>
      <c r="F25" s="4"/>
    </row>
    <row r="26" spans="1:6" ht="15.75" customHeight="1" x14ac:dyDescent="0.3">
      <c r="A26" s="4"/>
      <c r="B26" s="4"/>
      <c r="C26" s="4"/>
      <c r="D26" s="4"/>
      <c r="E26" s="4"/>
      <c r="F26" s="4"/>
    </row>
    <row r="27" spans="1:6" ht="15.75" customHeight="1" x14ac:dyDescent="0.3">
      <c r="A27" s="4"/>
      <c r="B27" s="4"/>
      <c r="C27" s="4"/>
      <c r="D27" s="4"/>
      <c r="E27" s="4"/>
      <c r="F27" s="4"/>
    </row>
    <row r="28" spans="1:6" ht="15.75" customHeight="1" x14ac:dyDescent="0.3">
      <c r="A28" s="4"/>
      <c r="B28" s="4"/>
      <c r="C28" s="4"/>
      <c r="D28" s="4"/>
      <c r="E28" s="4"/>
      <c r="F28" s="4"/>
    </row>
    <row r="29" spans="1:6" ht="15.75" customHeight="1" x14ac:dyDescent="0.3">
      <c r="A29" s="4"/>
      <c r="B29" s="4"/>
      <c r="C29" s="4"/>
      <c r="D29" s="4"/>
      <c r="E29" s="4"/>
      <c r="F29" s="4"/>
    </row>
    <row r="30" spans="1:6" ht="15.75" customHeight="1" x14ac:dyDescent="0.3">
      <c r="A30" s="4"/>
      <c r="B30" s="4"/>
      <c r="C30" s="4"/>
      <c r="D30" s="4"/>
      <c r="E30" s="4"/>
      <c r="F30" s="4"/>
    </row>
    <row r="31" spans="1:6" ht="15.75" customHeight="1" x14ac:dyDescent="0.3">
      <c r="A31" s="4"/>
      <c r="B31" s="4"/>
      <c r="C31" s="4"/>
      <c r="D31" s="4"/>
      <c r="E31" s="4"/>
      <c r="F31" s="4"/>
    </row>
    <row r="32" spans="1:6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  <row r="978" spans="1:6" ht="15.75" customHeight="1" x14ac:dyDescent="0.3">
      <c r="A978" s="4"/>
      <c r="B978" s="4"/>
      <c r="C978" s="4"/>
      <c r="D978" s="4"/>
      <c r="E978" s="4"/>
      <c r="F978" s="4"/>
    </row>
    <row r="979" spans="1:6" ht="15.75" customHeight="1" x14ac:dyDescent="0.3">
      <c r="A979" s="4"/>
      <c r="B979" s="4"/>
      <c r="C979" s="4"/>
      <c r="D979" s="4"/>
      <c r="E979" s="4"/>
      <c r="F979" s="4"/>
    </row>
    <row r="980" spans="1:6" ht="15.75" customHeight="1" x14ac:dyDescent="0.3">
      <c r="A980" s="4"/>
      <c r="B980" s="4"/>
      <c r="C980" s="4"/>
      <c r="D980" s="4"/>
      <c r="E980" s="4"/>
      <c r="F980" s="4"/>
    </row>
    <row r="981" spans="1:6" ht="15.75" customHeight="1" x14ac:dyDescent="0.3">
      <c r="A981" s="4"/>
      <c r="B981" s="4"/>
      <c r="C981" s="4"/>
      <c r="D981" s="4"/>
      <c r="E981" s="4"/>
      <c r="F981" s="4"/>
    </row>
    <row r="982" spans="1:6" ht="15.75" customHeight="1" x14ac:dyDescent="0.3">
      <c r="A982" s="4"/>
      <c r="B982" s="4"/>
      <c r="C982" s="4"/>
      <c r="D982" s="4"/>
      <c r="E982" s="4"/>
      <c r="F982" s="4"/>
    </row>
    <row r="983" spans="1:6" ht="15.75" customHeight="1" x14ac:dyDescent="0.3">
      <c r="A983" s="4"/>
      <c r="B983" s="4"/>
      <c r="C983" s="4"/>
      <c r="D983" s="4"/>
      <c r="E983" s="4"/>
      <c r="F983" s="4"/>
    </row>
    <row r="984" spans="1:6" ht="15.75" customHeight="1" x14ac:dyDescent="0.3">
      <c r="A984" s="4"/>
      <c r="B984" s="4"/>
      <c r="C984" s="4"/>
      <c r="D984" s="4"/>
      <c r="E984" s="4"/>
      <c r="F984" s="4"/>
    </row>
    <row r="985" spans="1:6" ht="15.75" customHeight="1" x14ac:dyDescent="0.3">
      <c r="A985" s="4"/>
      <c r="B985" s="4"/>
      <c r="C985" s="4"/>
      <c r="D985" s="4"/>
      <c r="E985" s="4"/>
      <c r="F985" s="4"/>
    </row>
    <row r="986" spans="1:6" ht="15.75" customHeight="1" x14ac:dyDescent="0.3">
      <c r="A986" s="4"/>
      <c r="B986" s="4"/>
      <c r="C986" s="4"/>
      <c r="D986" s="4"/>
      <c r="E986" s="4"/>
      <c r="F986" s="4"/>
    </row>
    <row r="987" spans="1:6" ht="15.75" customHeight="1" x14ac:dyDescent="0.3">
      <c r="A987" s="4"/>
      <c r="B987" s="4"/>
      <c r="C987" s="4"/>
      <c r="D987" s="4"/>
      <c r="E987" s="4"/>
      <c r="F987" s="4"/>
    </row>
    <row r="988" spans="1:6" ht="15.75" customHeight="1" x14ac:dyDescent="0.3">
      <c r="A988" s="4"/>
      <c r="B988" s="4"/>
      <c r="C988" s="4"/>
      <c r="D988" s="4"/>
      <c r="E988" s="4"/>
      <c r="F988" s="4"/>
    </row>
    <row r="989" spans="1:6" ht="15.75" customHeight="1" x14ac:dyDescent="0.3">
      <c r="A989" s="4"/>
      <c r="B989" s="4"/>
      <c r="C989" s="4"/>
      <c r="D989" s="4"/>
      <c r="E989" s="4"/>
      <c r="F989" s="4"/>
    </row>
    <row r="990" spans="1:6" ht="15.75" customHeight="1" x14ac:dyDescent="0.3">
      <c r="A990" s="4"/>
      <c r="B990" s="4"/>
      <c r="C990" s="4"/>
      <c r="D990" s="4"/>
      <c r="E990" s="4"/>
      <c r="F990" s="4"/>
    </row>
    <row r="991" spans="1:6" ht="15.75" customHeight="1" x14ac:dyDescent="0.3">
      <c r="A991" s="4"/>
      <c r="B991" s="4"/>
      <c r="C991" s="4"/>
      <c r="D991" s="4"/>
      <c r="E991" s="4"/>
      <c r="F991" s="4"/>
    </row>
    <row r="992" spans="1:6" ht="15.75" customHeight="1" x14ac:dyDescent="0.3">
      <c r="A992" s="4"/>
      <c r="B992" s="4"/>
      <c r="C992" s="4"/>
      <c r="D992" s="4"/>
      <c r="E992" s="4"/>
      <c r="F992" s="4"/>
    </row>
    <row r="993" spans="1:6" ht="15.75" customHeight="1" x14ac:dyDescent="0.3">
      <c r="A993" s="4"/>
      <c r="B993" s="4"/>
      <c r="C993" s="4"/>
      <c r="D993" s="4"/>
      <c r="E993" s="4"/>
      <c r="F993" s="4"/>
    </row>
    <row r="994" spans="1:6" ht="15.75" customHeight="1" x14ac:dyDescent="0.3">
      <c r="A994" s="4"/>
      <c r="B994" s="4"/>
      <c r="C994" s="4"/>
      <c r="D994" s="4"/>
      <c r="E994" s="4"/>
      <c r="F994" s="4"/>
    </row>
    <row r="995" spans="1:6" ht="15.75" customHeight="1" x14ac:dyDescent="0.3">
      <c r="A995" s="4"/>
      <c r="B995" s="4"/>
      <c r="C995" s="4"/>
      <c r="D995" s="4"/>
      <c r="E995" s="4"/>
      <c r="F995" s="4"/>
    </row>
    <row r="996" spans="1:6" ht="15.75" customHeight="1" x14ac:dyDescent="0.3">
      <c r="A996" s="4"/>
      <c r="B996" s="4"/>
      <c r="C996" s="4"/>
      <c r="D996" s="4"/>
      <c r="E996" s="4"/>
      <c r="F996" s="4"/>
    </row>
    <row r="997" spans="1:6" ht="15.75" customHeight="1" x14ac:dyDescent="0.3">
      <c r="A997" s="4"/>
      <c r="B997" s="4"/>
      <c r="C997" s="4"/>
      <c r="D997" s="4"/>
      <c r="E997" s="4"/>
      <c r="F997" s="4"/>
    </row>
    <row r="998" spans="1:6" ht="15.75" customHeight="1" x14ac:dyDescent="0.3">
      <c r="A998" s="4"/>
      <c r="B998" s="4"/>
      <c r="C998" s="4"/>
      <c r="D998" s="4"/>
      <c r="E998" s="4"/>
      <c r="F998" s="4"/>
    </row>
    <row r="999" spans="1:6" ht="15.75" customHeight="1" x14ac:dyDescent="0.3">
      <c r="A999" s="4"/>
      <c r="B999" s="4"/>
      <c r="C999" s="4"/>
      <c r="D999" s="4"/>
      <c r="E999" s="4"/>
      <c r="F999" s="4"/>
    </row>
    <row r="1000" spans="1:6" ht="15.75" customHeight="1" x14ac:dyDescent="0.3">
      <c r="A1000" s="4"/>
      <c r="B1000" s="4"/>
      <c r="C1000" s="4"/>
      <c r="D1000" s="4"/>
      <c r="E1000" s="4"/>
      <c r="F1000" s="4"/>
    </row>
  </sheetData>
  <mergeCells count="1">
    <mergeCell ref="A1:F1"/>
  </mergeCells>
  <phoneticPr fontId="14"/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4140625" defaultRowHeight="15" customHeight="1" x14ac:dyDescent="0.3"/>
  <cols>
    <col min="1" max="1" width="24" customWidth="1"/>
    <col min="2" max="2" width="40" customWidth="1"/>
    <col min="3" max="3" width="42" customWidth="1"/>
    <col min="4" max="4" width="28" customWidth="1"/>
    <col min="5" max="26" width="8.6640625" customWidth="1"/>
  </cols>
  <sheetData>
    <row r="1" spans="1:4" ht="21" customHeight="1" x14ac:dyDescent="0.5">
      <c r="A1" s="64" t="s">
        <v>1027</v>
      </c>
      <c r="B1" s="60"/>
      <c r="C1" s="60"/>
      <c r="D1" s="60"/>
    </row>
    <row r="2" spans="1:4" ht="14.4" x14ac:dyDescent="0.3">
      <c r="A2" s="4"/>
      <c r="B2" s="4"/>
      <c r="C2" s="4"/>
      <c r="D2" s="4"/>
    </row>
    <row r="3" spans="1:4" ht="16.5" customHeight="1" x14ac:dyDescent="0.3">
      <c r="A3" s="32" t="s">
        <v>1028</v>
      </c>
      <c r="B3" s="32" t="s">
        <v>1029</v>
      </c>
      <c r="C3" s="32" t="s">
        <v>1030</v>
      </c>
      <c r="D3" s="32" t="s">
        <v>1031</v>
      </c>
    </row>
    <row r="4" spans="1:4" ht="15" customHeight="1" x14ac:dyDescent="0.3">
      <c r="A4" s="19" t="s">
        <v>1032</v>
      </c>
      <c r="B4" s="19" t="s">
        <v>1033</v>
      </c>
      <c r="C4" s="19" t="s">
        <v>1034</v>
      </c>
      <c r="D4" s="17" t="s">
        <v>1035</v>
      </c>
    </row>
    <row r="5" spans="1:4" ht="15" customHeight="1" x14ac:dyDescent="0.3">
      <c r="A5" s="19" t="s">
        <v>1036</v>
      </c>
      <c r="B5" s="19" t="s">
        <v>1037</v>
      </c>
      <c r="C5" s="19" t="s">
        <v>1038</v>
      </c>
      <c r="D5" s="17" t="s">
        <v>1039</v>
      </c>
    </row>
    <row r="6" spans="1:4" ht="15" customHeight="1" x14ac:dyDescent="0.3">
      <c r="A6" s="19" t="s">
        <v>1040</v>
      </c>
      <c r="B6" s="19" t="s">
        <v>1041</v>
      </c>
      <c r="C6" s="19" t="s">
        <v>1042</v>
      </c>
      <c r="D6" s="17" t="s">
        <v>1043</v>
      </c>
    </row>
    <row r="7" spans="1:4" ht="15" customHeight="1" x14ac:dyDescent="0.3">
      <c r="A7" s="19" t="s">
        <v>1044</v>
      </c>
      <c r="B7" s="19" t="s">
        <v>1045</v>
      </c>
      <c r="C7" s="19" t="s">
        <v>1046</v>
      </c>
      <c r="D7" s="17" t="s">
        <v>1047</v>
      </c>
    </row>
    <row r="8" spans="1:4" ht="15" customHeight="1" x14ac:dyDescent="0.3">
      <c r="A8" s="19" t="s">
        <v>1048</v>
      </c>
      <c r="B8" s="19" t="s">
        <v>1049</v>
      </c>
      <c r="C8" s="19" t="s">
        <v>1050</v>
      </c>
      <c r="D8" s="17" t="s">
        <v>1051</v>
      </c>
    </row>
    <row r="9" spans="1:4" ht="15" customHeight="1" x14ac:dyDescent="0.3">
      <c r="A9" s="19" t="s">
        <v>1052</v>
      </c>
      <c r="B9" s="19" t="s">
        <v>1053</v>
      </c>
      <c r="C9" s="19" t="s">
        <v>1054</v>
      </c>
      <c r="D9" s="17" t="s">
        <v>1055</v>
      </c>
    </row>
    <row r="10" spans="1:4" ht="15" customHeight="1" x14ac:dyDescent="0.3">
      <c r="A10" s="19" t="s">
        <v>1056</v>
      </c>
      <c r="B10" s="19" t="s">
        <v>1057</v>
      </c>
      <c r="C10" s="17" t="s">
        <v>1058</v>
      </c>
      <c r="D10" s="17" t="s">
        <v>1059</v>
      </c>
    </row>
    <row r="11" spans="1:4" ht="23.25" customHeight="1" x14ac:dyDescent="0.3">
      <c r="A11" s="19" t="s">
        <v>1060</v>
      </c>
      <c r="B11" s="19" t="s">
        <v>1061</v>
      </c>
      <c r="C11" s="19" t="s">
        <v>1062</v>
      </c>
      <c r="D11" s="17" t="s">
        <v>1063</v>
      </c>
    </row>
    <row r="12" spans="1:4" ht="15" customHeight="1" x14ac:dyDescent="0.3">
      <c r="A12" s="19" t="s">
        <v>1064</v>
      </c>
      <c r="B12" s="19" t="s">
        <v>1065</v>
      </c>
      <c r="C12" s="19" t="s">
        <v>1066</v>
      </c>
      <c r="D12" s="17" t="s">
        <v>1067</v>
      </c>
    </row>
    <row r="13" spans="1:4" ht="15" customHeight="1" x14ac:dyDescent="0.3">
      <c r="A13" s="19" t="s">
        <v>1068</v>
      </c>
      <c r="B13" s="19" t="s">
        <v>1069</v>
      </c>
      <c r="C13" s="19" t="s">
        <v>1070</v>
      </c>
      <c r="D13" s="17" t="s">
        <v>1071</v>
      </c>
    </row>
    <row r="14" spans="1:4" ht="15" customHeight="1" x14ac:dyDescent="0.3">
      <c r="A14" s="19" t="s">
        <v>1072</v>
      </c>
      <c r="B14" s="19" t="s">
        <v>1073</v>
      </c>
      <c r="C14" s="19" t="s">
        <v>1074</v>
      </c>
      <c r="D14" s="17" t="s">
        <v>1075</v>
      </c>
    </row>
    <row r="15" spans="1:4" ht="30" x14ac:dyDescent="0.3">
      <c r="A15" s="19" t="s">
        <v>1076</v>
      </c>
      <c r="B15" s="19" t="s">
        <v>1077</v>
      </c>
      <c r="C15" s="19" t="s">
        <v>1078</v>
      </c>
      <c r="D15" s="17" t="s">
        <v>1079</v>
      </c>
    </row>
    <row r="16" spans="1:4" ht="14.4" x14ac:dyDescent="0.3">
      <c r="A16" s="4"/>
      <c r="B16" s="4"/>
      <c r="C16" s="4"/>
      <c r="D16" s="4"/>
    </row>
    <row r="17" spans="1:4" ht="14.4" x14ac:dyDescent="0.3">
      <c r="A17" s="4"/>
      <c r="B17" s="4"/>
      <c r="C17" s="4"/>
      <c r="D17" s="4"/>
    </row>
    <row r="18" spans="1:4" ht="14.4" x14ac:dyDescent="0.3">
      <c r="A18" s="4"/>
      <c r="B18" s="4"/>
      <c r="C18" s="4"/>
      <c r="D18" s="4"/>
    </row>
    <row r="19" spans="1:4" ht="14.4" x14ac:dyDescent="0.3">
      <c r="A19" s="4"/>
      <c r="B19" s="4"/>
      <c r="C19" s="4"/>
      <c r="D19" s="4"/>
    </row>
    <row r="20" spans="1:4" ht="14.4" x14ac:dyDescent="0.3">
      <c r="A20" s="4"/>
      <c r="B20" s="4"/>
      <c r="C20" s="4"/>
      <c r="D20" s="4"/>
    </row>
    <row r="21" spans="1:4" ht="15.75" customHeight="1" x14ac:dyDescent="0.3">
      <c r="A21" s="4"/>
      <c r="B21" s="4"/>
      <c r="C21" s="4"/>
      <c r="D21" s="4"/>
    </row>
    <row r="22" spans="1:4" ht="15.75" customHeight="1" x14ac:dyDescent="0.3">
      <c r="A22" s="4"/>
      <c r="B22" s="4"/>
      <c r="C22" s="4"/>
      <c r="D22" s="4"/>
    </row>
    <row r="23" spans="1:4" ht="15.75" customHeight="1" x14ac:dyDescent="0.3">
      <c r="A23" s="4"/>
      <c r="B23" s="4"/>
      <c r="C23" s="4"/>
      <c r="D23" s="4"/>
    </row>
    <row r="24" spans="1:4" ht="15.75" customHeight="1" x14ac:dyDescent="0.3">
      <c r="A24" s="4"/>
      <c r="B24" s="4"/>
      <c r="C24" s="4"/>
      <c r="D24" s="4"/>
    </row>
    <row r="25" spans="1:4" ht="15.75" customHeight="1" x14ac:dyDescent="0.3">
      <c r="A25" s="4"/>
      <c r="B25" s="4"/>
      <c r="C25" s="4"/>
      <c r="D25" s="4"/>
    </row>
    <row r="26" spans="1:4" ht="15.75" customHeight="1" x14ac:dyDescent="0.3">
      <c r="A26" s="4"/>
      <c r="B26" s="4"/>
      <c r="C26" s="4"/>
      <c r="D26" s="4"/>
    </row>
    <row r="27" spans="1:4" ht="15.75" customHeight="1" x14ac:dyDescent="0.3">
      <c r="A27" s="4"/>
      <c r="B27" s="4"/>
      <c r="C27" s="4"/>
      <c r="D27" s="4"/>
    </row>
    <row r="28" spans="1:4" ht="15.75" customHeight="1" x14ac:dyDescent="0.3">
      <c r="A28" s="4"/>
      <c r="B28" s="4"/>
      <c r="C28" s="4"/>
      <c r="D28" s="4"/>
    </row>
    <row r="29" spans="1:4" ht="15.75" customHeight="1" x14ac:dyDescent="0.3">
      <c r="A29" s="4"/>
      <c r="B29" s="4"/>
      <c r="C29" s="4"/>
      <c r="D29" s="4"/>
    </row>
    <row r="30" spans="1:4" ht="15.75" customHeight="1" x14ac:dyDescent="0.3">
      <c r="A30" s="4"/>
      <c r="B30" s="4"/>
      <c r="C30" s="4"/>
      <c r="D30" s="4"/>
    </row>
    <row r="31" spans="1:4" ht="15.75" customHeight="1" x14ac:dyDescent="0.3">
      <c r="A31" s="4"/>
      <c r="B31" s="4"/>
      <c r="C31" s="4"/>
      <c r="D31" s="4"/>
    </row>
    <row r="32" spans="1:4" ht="15.75" customHeight="1" x14ac:dyDescent="0.3">
      <c r="A32" s="4"/>
      <c r="B32" s="4"/>
      <c r="C32" s="4"/>
      <c r="D32" s="4"/>
    </row>
    <row r="33" spans="1:4" ht="15.75" customHeight="1" x14ac:dyDescent="0.3">
      <c r="A33" s="4"/>
      <c r="B33" s="4"/>
      <c r="C33" s="4"/>
      <c r="D33" s="4"/>
    </row>
    <row r="34" spans="1:4" ht="15.75" customHeight="1" x14ac:dyDescent="0.3">
      <c r="A34" s="4"/>
      <c r="B34" s="4"/>
      <c r="C34" s="4"/>
      <c r="D34" s="4"/>
    </row>
    <row r="35" spans="1:4" ht="15.75" customHeight="1" x14ac:dyDescent="0.3">
      <c r="A35" s="4"/>
      <c r="B35" s="4"/>
      <c r="C35" s="4"/>
      <c r="D35" s="4"/>
    </row>
    <row r="36" spans="1:4" ht="15.75" customHeight="1" x14ac:dyDescent="0.3">
      <c r="A36" s="4"/>
      <c r="B36" s="4"/>
      <c r="C36" s="4"/>
      <c r="D36" s="4"/>
    </row>
    <row r="37" spans="1:4" ht="15.75" customHeight="1" x14ac:dyDescent="0.3">
      <c r="A37" s="4"/>
      <c r="B37" s="4"/>
      <c r="C37" s="4"/>
      <c r="D37" s="4"/>
    </row>
    <row r="38" spans="1:4" ht="15.75" customHeight="1" x14ac:dyDescent="0.3">
      <c r="A38" s="4"/>
      <c r="B38" s="4"/>
      <c r="C38" s="4"/>
      <c r="D38" s="4"/>
    </row>
    <row r="39" spans="1:4" ht="15.75" customHeight="1" x14ac:dyDescent="0.3">
      <c r="A39" s="4"/>
      <c r="B39" s="4"/>
      <c r="C39" s="4"/>
      <c r="D39" s="4"/>
    </row>
    <row r="40" spans="1:4" ht="15.75" customHeight="1" x14ac:dyDescent="0.3">
      <c r="A40" s="4"/>
      <c r="B40" s="4"/>
      <c r="C40" s="4"/>
      <c r="D40" s="4"/>
    </row>
    <row r="41" spans="1:4" ht="15.75" customHeight="1" x14ac:dyDescent="0.3">
      <c r="A41" s="4"/>
      <c r="B41" s="4"/>
      <c r="C41" s="4"/>
      <c r="D41" s="4"/>
    </row>
    <row r="42" spans="1:4" ht="15.75" customHeight="1" x14ac:dyDescent="0.3">
      <c r="A42" s="4"/>
      <c r="B42" s="4"/>
      <c r="C42" s="4"/>
      <c r="D42" s="4"/>
    </row>
    <row r="43" spans="1:4" ht="15.75" customHeight="1" x14ac:dyDescent="0.3">
      <c r="A43" s="4"/>
      <c r="B43" s="4"/>
      <c r="C43" s="4"/>
      <c r="D43" s="4"/>
    </row>
    <row r="44" spans="1:4" ht="15.75" customHeight="1" x14ac:dyDescent="0.3">
      <c r="A44" s="4"/>
      <c r="B44" s="4"/>
      <c r="C44" s="4"/>
      <c r="D44" s="4"/>
    </row>
    <row r="45" spans="1:4" ht="15.75" customHeight="1" x14ac:dyDescent="0.3">
      <c r="A45" s="4"/>
      <c r="B45" s="4"/>
      <c r="C45" s="4"/>
      <c r="D45" s="4"/>
    </row>
    <row r="46" spans="1:4" ht="15.75" customHeight="1" x14ac:dyDescent="0.3">
      <c r="A46" s="4"/>
      <c r="B46" s="4"/>
      <c r="C46" s="4"/>
      <c r="D46" s="4"/>
    </row>
    <row r="47" spans="1:4" ht="15.75" customHeight="1" x14ac:dyDescent="0.3">
      <c r="A47" s="4"/>
      <c r="B47" s="4"/>
      <c r="C47" s="4"/>
      <c r="D47" s="4"/>
    </row>
    <row r="48" spans="1:4" ht="15.75" customHeight="1" x14ac:dyDescent="0.3">
      <c r="A48" s="4"/>
      <c r="B48" s="4"/>
      <c r="C48" s="4"/>
      <c r="D48" s="4"/>
    </row>
    <row r="49" spans="1:4" ht="15.75" customHeight="1" x14ac:dyDescent="0.3">
      <c r="A49" s="4"/>
      <c r="B49" s="4"/>
      <c r="C49" s="4"/>
      <c r="D49" s="4"/>
    </row>
    <row r="50" spans="1:4" ht="15.75" customHeight="1" x14ac:dyDescent="0.3">
      <c r="A50" s="4"/>
      <c r="B50" s="4"/>
      <c r="C50" s="4"/>
      <c r="D50" s="4"/>
    </row>
    <row r="51" spans="1:4" ht="15.75" customHeight="1" x14ac:dyDescent="0.3">
      <c r="A51" s="4"/>
      <c r="B51" s="4"/>
      <c r="C51" s="4"/>
      <c r="D51" s="4"/>
    </row>
    <row r="52" spans="1:4" ht="15.75" customHeight="1" x14ac:dyDescent="0.3">
      <c r="A52" s="4"/>
      <c r="B52" s="4"/>
      <c r="C52" s="4"/>
      <c r="D52" s="4"/>
    </row>
    <row r="53" spans="1:4" ht="15.75" customHeight="1" x14ac:dyDescent="0.3">
      <c r="A53" s="4"/>
      <c r="B53" s="4"/>
      <c r="C53" s="4"/>
      <c r="D53" s="4"/>
    </row>
    <row r="54" spans="1:4" ht="15.75" customHeight="1" x14ac:dyDescent="0.3">
      <c r="A54" s="4"/>
      <c r="B54" s="4"/>
      <c r="C54" s="4"/>
      <c r="D54" s="4"/>
    </row>
    <row r="55" spans="1:4" ht="15.75" customHeight="1" x14ac:dyDescent="0.3">
      <c r="A55" s="4"/>
      <c r="B55" s="4"/>
      <c r="C55" s="4"/>
      <c r="D55" s="4"/>
    </row>
    <row r="56" spans="1:4" ht="15.75" customHeight="1" x14ac:dyDescent="0.3">
      <c r="A56" s="4"/>
      <c r="B56" s="4"/>
      <c r="C56" s="4"/>
      <c r="D56" s="4"/>
    </row>
    <row r="57" spans="1:4" ht="15.75" customHeight="1" x14ac:dyDescent="0.3">
      <c r="A57" s="4"/>
      <c r="B57" s="4"/>
      <c r="C57" s="4"/>
      <c r="D57" s="4"/>
    </row>
    <row r="58" spans="1:4" ht="15.75" customHeight="1" x14ac:dyDescent="0.3">
      <c r="A58" s="4"/>
      <c r="B58" s="4"/>
      <c r="C58" s="4"/>
      <c r="D58" s="4"/>
    </row>
    <row r="59" spans="1:4" ht="15.75" customHeight="1" x14ac:dyDescent="0.3">
      <c r="A59" s="4"/>
      <c r="B59" s="4"/>
      <c r="C59" s="4"/>
      <c r="D59" s="4"/>
    </row>
    <row r="60" spans="1:4" ht="15.75" customHeight="1" x14ac:dyDescent="0.3">
      <c r="A60" s="4"/>
      <c r="B60" s="4"/>
      <c r="C60" s="4"/>
      <c r="D60" s="4"/>
    </row>
    <row r="61" spans="1:4" ht="15.75" customHeight="1" x14ac:dyDescent="0.3">
      <c r="A61" s="4"/>
      <c r="B61" s="4"/>
      <c r="C61" s="4"/>
      <c r="D61" s="4"/>
    </row>
    <row r="62" spans="1:4" ht="15.75" customHeight="1" x14ac:dyDescent="0.3">
      <c r="A62" s="4"/>
      <c r="B62" s="4"/>
      <c r="C62" s="4"/>
      <c r="D62" s="4"/>
    </row>
    <row r="63" spans="1:4" ht="15.75" customHeight="1" x14ac:dyDescent="0.3">
      <c r="A63" s="4"/>
      <c r="B63" s="4"/>
      <c r="C63" s="4"/>
      <c r="D63" s="4"/>
    </row>
    <row r="64" spans="1:4" ht="15.75" customHeight="1" x14ac:dyDescent="0.3">
      <c r="A64" s="4"/>
      <c r="B64" s="4"/>
      <c r="C64" s="4"/>
      <c r="D64" s="4"/>
    </row>
    <row r="65" spans="1:4" ht="15.75" customHeight="1" x14ac:dyDescent="0.3">
      <c r="A65" s="4"/>
      <c r="B65" s="4"/>
      <c r="C65" s="4"/>
      <c r="D65" s="4"/>
    </row>
    <row r="66" spans="1:4" ht="15.75" customHeight="1" x14ac:dyDescent="0.3">
      <c r="A66" s="4"/>
      <c r="B66" s="4"/>
      <c r="C66" s="4"/>
      <c r="D66" s="4"/>
    </row>
    <row r="67" spans="1:4" ht="15.75" customHeight="1" x14ac:dyDescent="0.3">
      <c r="A67" s="4"/>
      <c r="B67" s="4"/>
      <c r="C67" s="4"/>
      <c r="D67" s="4"/>
    </row>
    <row r="68" spans="1:4" ht="15.75" customHeight="1" x14ac:dyDescent="0.3">
      <c r="A68" s="4"/>
      <c r="B68" s="4"/>
      <c r="C68" s="4"/>
      <c r="D68" s="4"/>
    </row>
    <row r="69" spans="1:4" ht="15.75" customHeight="1" x14ac:dyDescent="0.3">
      <c r="A69" s="4"/>
      <c r="B69" s="4"/>
      <c r="C69" s="4"/>
      <c r="D69" s="4"/>
    </row>
    <row r="70" spans="1:4" ht="15.75" customHeight="1" x14ac:dyDescent="0.3">
      <c r="A70" s="4"/>
      <c r="B70" s="4"/>
      <c r="C70" s="4"/>
      <c r="D70" s="4"/>
    </row>
    <row r="71" spans="1:4" ht="15.75" customHeight="1" x14ac:dyDescent="0.3">
      <c r="A71" s="4"/>
      <c r="B71" s="4"/>
      <c r="C71" s="4"/>
      <c r="D71" s="4"/>
    </row>
    <row r="72" spans="1:4" ht="15.75" customHeight="1" x14ac:dyDescent="0.3">
      <c r="A72" s="4"/>
      <c r="B72" s="4"/>
      <c r="C72" s="4"/>
      <c r="D72" s="4"/>
    </row>
    <row r="73" spans="1:4" ht="15.75" customHeight="1" x14ac:dyDescent="0.3">
      <c r="A73" s="4"/>
      <c r="B73" s="4"/>
      <c r="C73" s="4"/>
      <c r="D73" s="4"/>
    </row>
    <row r="74" spans="1:4" ht="15.75" customHeight="1" x14ac:dyDescent="0.3">
      <c r="A74" s="4"/>
      <c r="B74" s="4"/>
      <c r="C74" s="4"/>
      <c r="D74" s="4"/>
    </row>
    <row r="75" spans="1:4" ht="15.75" customHeight="1" x14ac:dyDescent="0.3">
      <c r="A75" s="4"/>
      <c r="B75" s="4"/>
      <c r="C75" s="4"/>
      <c r="D75" s="4"/>
    </row>
    <row r="76" spans="1:4" ht="15.75" customHeight="1" x14ac:dyDescent="0.3">
      <c r="A76" s="4"/>
      <c r="B76" s="4"/>
      <c r="C76" s="4"/>
      <c r="D76" s="4"/>
    </row>
    <row r="77" spans="1:4" ht="15.75" customHeight="1" x14ac:dyDescent="0.3">
      <c r="A77" s="4"/>
      <c r="B77" s="4"/>
      <c r="C77" s="4"/>
      <c r="D77" s="4"/>
    </row>
    <row r="78" spans="1:4" ht="15.75" customHeight="1" x14ac:dyDescent="0.3">
      <c r="A78" s="4"/>
      <c r="B78" s="4"/>
      <c r="C78" s="4"/>
      <c r="D78" s="4"/>
    </row>
    <row r="79" spans="1:4" ht="15.75" customHeight="1" x14ac:dyDescent="0.3">
      <c r="A79" s="4"/>
      <c r="B79" s="4"/>
      <c r="C79" s="4"/>
      <c r="D79" s="4"/>
    </row>
    <row r="80" spans="1:4" ht="15.75" customHeight="1" x14ac:dyDescent="0.3">
      <c r="A80" s="4"/>
      <c r="B80" s="4"/>
      <c r="C80" s="4"/>
      <c r="D80" s="4"/>
    </row>
    <row r="81" spans="1:4" ht="15.75" customHeight="1" x14ac:dyDescent="0.3">
      <c r="A81" s="4"/>
      <c r="B81" s="4"/>
      <c r="C81" s="4"/>
      <c r="D81" s="4"/>
    </row>
    <row r="82" spans="1:4" ht="15.75" customHeight="1" x14ac:dyDescent="0.3">
      <c r="A82" s="4"/>
      <c r="B82" s="4"/>
      <c r="C82" s="4"/>
      <c r="D82" s="4"/>
    </row>
    <row r="83" spans="1:4" ht="15.75" customHeight="1" x14ac:dyDescent="0.3">
      <c r="A83" s="4"/>
      <c r="B83" s="4"/>
      <c r="C83" s="4"/>
      <c r="D83" s="4"/>
    </row>
    <row r="84" spans="1:4" ht="15.75" customHeight="1" x14ac:dyDescent="0.3">
      <c r="A84" s="4"/>
      <c r="B84" s="4"/>
      <c r="C84" s="4"/>
      <c r="D84" s="4"/>
    </row>
    <row r="85" spans="1:4" ht="15.75" customHeight="1" x14ac:dyDescent="0.3">
      <c r="A85" s="4"/>
      <c r="B85" s="4"/>
      <c r="C85" s="4"/>
      <c r="D85" s="4"/>
    </row>
    <row r="86" spans="1:4" ht="15.75" customHeight="1" x14ac:dyDescent="0.3">
      <c r="A86" s="4"/>
      <c r="B86" s="4"/>
      <c r="C86" s="4"/>
      <c r="D86" s="4"/>
    </row>
    <row r="87" spans="1:4" ht="15.75" customHeight="1" x14ac:dyDescent="0.3">
      <c r="A87" s="4"/>
      <c r="B87" s="4"/>
      <c r="C87" s="4"/>
      <c r="D87" s="4"/>
    </row>
    <row r="88" spans="1:4" ht="15.75" customHeight="1" x14ac:dyDescent="0.3">
      <c r="A88" s="4"/>
      <c r="B88" s="4"/>
      <c r="C88" s="4"/>
      <c r="D88" s="4"/>
    </row>
    <row r="89" spans="1:4" ht="15.75" customHeight="1" x14ac:dyDescent="0.3">
      <c r="A89" s="4"/>
      <c r="B89" s="4"/>
      <c r="C89" s="4"/>
      <c r="D89" s="4"/>
    </row>
    <row r="90" spans="1:4" ht="15.75" customHeight="1" x14ac:dyDescent="0.3">
      <c r="A90" s="4"/>
      <c r="B90" s="4"/>
      <c r="C90" s="4"/>
      <c r="D90" s="4"/>
    </row>
    <row r="91" spans="1:4" ht="15.75" customHeight="1" x14ac:dyDescent="0.3">
      <c r="A91" s="4"/>
      <c r="B91" s="4"/>
      <c r="C91" s="4"/>
      <c r="D91" s="4"/>
    </row>
    <row r="92" spans="1:4" ht="15.75" customHeight="1" x14ac:dyDescent="0.3">
      <c r="A92" s="4"/>
      <c r="B92" s="4"/>
      <c r="C92" s="4"/>
      <c r="D92" s="4"/>
    </row>
    <row r="93" spans="1:4" ht="15.75" customHeight="1" x14ac:dyDescent="0.3">
      <c r="A93" s="4"/>
      <c r="B93" s="4"/>
      <c r="C93" s="4"/>
      <c r="D93" s="4"/>
    </row>
    <row r="94" spans="1:4" ht="15.75" customHeight="1" x14ac:dyDescent="0.3">
      <c r="A94" s="4"/>
      <c r="B94" s="4"/>
      <c r="C94" s="4"/>
      <c r="D94" s="4"/>
    </row>
    <row r="95" spans="1:4" ht="15.75" customHeight="1" x14ac:dyDescent="0.3">
      <c r="A95" s="4"/>
      <c r="B95" s="4"/>
      <c r="C95" s="4"/>
      <c r="D95" s="4"/>
    </row>
    <row r="96" spans="1:4" ht="15.75" customHeight="1" x14ac:dyDescent="0.3">
      <c r="A96" s="4"/>
      <c r="B96" s="4"/>
      <c r="C96" s="4"/>
      <c r="D96" s="4"/>
    </row>
    <row r="97" spans="1:4" ht="15.75" customHeight="1" x14ac:dyDescent="0.3">
      <c r="A97" s="4"/>
      <c r="B97" s="4"/>
      <c r="C97" s="4"/>
      <c r="D97" s="4"/>
    </row>
    <row r="98" spans="1:4" ht="15.75" customHeight="1" x14ac:dyDescent="0.3">
      <c r="A98" s="4"/>
      <c r="B98" s="4"/>
      <c r="C98" s="4"/>
      <c r="D98" s="4"/>
    </row>
    <row r="99" spans="1:4" ht="15.75" customHeight="1" x14ac:dyDescent="0.3">
      <c r="A99" s="4"/>
      <c r="B99" s="4"/>
      <c r="C99" s="4"/>
      <c r="D99" s="4"/>
    </row>
    <row r="100" spans="1:4" ht="15.75" customHeight="1" x14ac:dyDescent="0.3">
      <c r="A100" s="4"/>
      <c r="B100" s="4"/>
      <c r="C100" s="4"/>
      <c r="D100" s="4"/>
    </row>
    <row r="101" spans="1:4" ht="15.75" customHeight="1" x14ac:dyDescent="0.3">
      <c r="A101" s="4"/>
      <c r="B101" s="4"/>
      <c r="C101" s="4"/>
      <c r="D101" s="4"/>
    </row>
    <row r="102" spans="1:4" ht="15.75" customHeight="1" x14ac:dyDescent="0.3">
      <c r="A102" s="4"/>
      <c r="B102" s="4"/>
      <c r="C102" s="4"/>
      <c r="D102" s="4"/>
    </row>
    <row r="103" spans="1:4" ht="15.75" customHeight="1" x14ac:dyDescent="0.3">
      <c r="A103" s="4"/>
      <c r="B103" s="4"/>
      <c r="C103" s="4"/>
      <c r="D103" s="4"/>
    </row>
    <row r="104" spans="1:4" ht="15.75" customHeight="1" x14ac:dyDescent="0.3">
      <c r="A104" s="4"/>
      <c r="B104" s="4"/>
      <c r="C104" s="4"/>
      <c r="D104" s="4"/>
    </row>
    <row r="105" spans="1:4" ht="15.75" customHeight="1" x14ac:dyDescent="0.3">
      <c r="A105" s="4"/>
      <c r="B105" s="4"/>
      <c r="C105" s="4"/>
      <c r="D105" s="4"/>
    </row>
    <row r="106" spans="1:4" ht="15.75" customHeight="1" x14ac:dyDescent="0.3">
      <c r="A106" s="4"/>
      <c r="B106" s="4"/>
      <c r="C106" s="4"/>
      <c r="D106" s="4"/>
    </row>
    <row r="107" spans="1:4" ht="15.75" customHeight="1" x14ac:dyDescent="0.3">
      <c r="A107" s="4"/>
      <c r="B107" s="4"/>
      <c r="C107" s="4"/>
      <c r="D107" s="4"/>
    </row>
    <row r="108" spans="1:4" ht="15.75" customHeight="1" x14ac:dyDescent="0.3">
      <c r="A108" s="4"/>
      <c r="B108" s="4"/>
      <c r="C108" s="4"/>
      <c r="D108" s="4"/>
    </row>
    <row r="109" spans="1:4" ht="15.75" customHeight="1" x14ac:dyDescent="0.3">
      <c r="A109" s="4"/>
      <c r="B109" s="4"/>
      <c r="C109" s="4"/>
      <c r="D109" s="4"/>
    </row>
    <row r="110" spans="1:4" ht="15.75" customHeight="1" x14ac:dyDescent="0.3">
      <c r="A110" s="4"/>
      <c r="B110" s="4"/>
      <c r="C110" s="4"/>
      <c r="D110" s="4"/>
    </row>
    <row r="111" spans="1:4" ht="15.75" customHeight="1" x14ac:dyDescent="0.3">
      <c r="A111" s="4"/>
      <c r="B111" s="4"/>
      <c r="C111" s="4"/>
      <c r="D111" s="4"/>
    </row>
    <row r="112" spans="1:4" ht="15.75" customHeight="1" x14ac:dyDescent="0.3">
      <c r="A112" s="4"/>
      <c r="B112" s="4"/>
      <c r="C112" s="4"/>
      <c r="D112" s="4"/>
    </row>
    <row r="113" spans="1:4" ht="15.75" customHeight="1" x14ac:dyDescent="0.3">
      <c r="A113" s="4"/>
      <c r="B113" s="4"/>
      <c r="C113" s="4"/>
      <c r="D113" s="4"/>
    </row>
    <row r="114" spans="1:4" ht="15.75" customHeight="1" x14ac:dyDescent="0.3">
      <c r="A114" s="4"/>
      <c r="B114" s="4"/>
      <c r="C114" s="4"/>
      <c r="D114" s="4"/>
    </row>
    <row r="115" spans="1:4" ht="15.75" customHeight="1" x14ac:dyDescent="0.3">
      <c r="A115" s="4"/>
      <c r="B115" s="4"/>
      <c r="C115" s="4"/>
      <c r="D115" s="4"/>
    </row>
    <row r="116" spans="1:4" ht="15.75" customHeight="1" x14ac:dyDescent="0.3">
      <c r="A116" s="4"/>
      <c r="B116" s="4"/>
      <c r="C116" s="4"/>
      <c r="D116" s="4"/>
    </row>
    <row r="117" spans="1:4" ht="15.75" customHeight="1" x14ac:dyDescent="0.3">
      <c r="A117" s="4"/>
      <c r="B117" s="4"/>
      <c r="C117" s="4"/>
      <c r="D117" s="4"/>
    </row>
    <row r="118" spans="1:4" ht="15.75" customHeight="1" x14ac:dyDescent="0.3">
      <c r="A118" s="4"/>
      <c r="B118" s="4"/>
      <c r="C118" s="4"/>
      <c r="D118" s="4"/>
    </row>
    <row r="119" spans="1:4" ht="15.75" customHeight="1" x14ac:dyDescent="0.3">
      <c r="A119" s="4"/>
      <c r="B119" s="4"/>
      <c r="C119" s="4"/>
      <c r="D119" s="4"/>
    </row>
    <row r="120" spans="1:4" ht="15.75" customHeight="1" x14ac:dyDescent="0.3">
      <c r="A120" s="4"/>
      <c r="B120" s="4"/>
      <c r="C120" s="4"/>
      <c r="D120" s="4"/>
    </row>
    <row r="121" spans="1:4" ht="15.75" customHeight="1" x14ac:dyDescent="0.3">
      <c r="A121" s="4"/>
      <c r="B121" s="4"/>
      <c r="C121" s="4"/>
      <c r="D121" s="4"/>
    </row>
    <row r="122" spans="1:4" ht="15.75" customHeight="1" x14ac:dyDescent="0.3">
      <c r="A122" s="4"/>
      <c r="B122" s="4"/>
      <c r="C122" s="4"/>
      <c r="D122" s="4"/>
    </row>
    <row r="123" spans="1:4" ht="15.75" customHeight="1" x14ac:dyDescent="0.3">
      <c r="A123" s="4"/>
      <c r="B123" s="4"/>
      <c r="C123" s="4"/>
      <c r="D123" s="4"/>
    </row>
    <row r="124" spans="1:4" ht="15.75" customHeight="1" x14ac:dyDescent="0.3">
      <c r="A124" s="4"/>
      <c r="B124" s="4"/>
      <c r="C124" s="4"/>
      <c r="D124" s="4"/>
    </row>
    <row r="125" spans="1:4" ht="15.75" customHeight="1" x14ac:dyDescent="0.3">
      <c r="A125" s="4"/>
      <c r="B125" s="4"/>
      <c r="C125" s="4"/>
      <c r="D125" s="4"/>
    </row>
    <row r="126" spans="1:4" ht="15.75" customHeight="1" x14ac:dyDescent="0.3">
      <c r="A126" s="4"/>
      <c r="B126" s="4"/>
      <c r="C126" s="4"/>
      <c r="D126" s="4"/>
    </row>
    <row r="127" spans="1:4" ht="15.75" customHeight="1" x14ac:dyDescent="0.3">
      <c r="A127" s="4"/>
      <c r="B127" s="4"/>
      <c r="C127" s="4"/>
      <c r="D127" s="4"/>
    </row>
    <row r="128" spans="1:4" ht="15.75" customHeight="1" x14ac:dyDescent="0.3">
      <c r="A128" s="4"/>
      <c r="B128" s="4"/>
      <c r="C128" s="4"/>
      <c r="D128" s="4"/>
    </row>
    <row r="129" spans="1:4" ht="15.75" customHeight="1" x14ac:dyDescent="0.3">
      <c r="A129" s="4"/>
      <c r="B129" s="4"/>
      <c r="C129" s="4"/>
      <c r="D129" s="4"/>
    </row>
    <row r="130" spans="1:4" ht="15.75" customHeight="1" x14ac:dyDescent="0.3">
      <c r="A130" s="4"/>
      <c r="B130" s="4"/>
      <c r="C130" s="4"/>
      <c r="D130" s="4"/>
    </row>
    <row r="131" spans="1:4" ht="15.75" customHeight="1" x14ac:dyDescent="0.3">
      <c r="A131" s="4"/>
      <c r="B131" s="4"/>
      <c r="C131" s="4"/>
      <c r="D131" s="4"/>
    </row>
    <row r="132" spans="1:4" ht="15.75" customHeight="1" x14ac:dyDescent="0.3">
      <c r="A132" s="4"/>
      <c r="B132" s="4"/>
      <c r="C132" s="4"/>
      <c r="D132" s="4"/>
    </row>
    <row r="133" spans="1:4" ht="15.75" customHeight="1" x14ac:dyDescent="0.3">
      <c r="A133" s="4"/>
      <c r="B133" s="4"/>
      <c r="C133" s="4"/>
      <c r="D133" s="4"/>
    </row>
    <row r="134" spans="1:4" ht="15.75" customHeight="1" x14ac:dyDescent="0.3">
      <c r="A134" s="4"/>
      <c r="B134" s="4"/>
      <c r="C134" s="4"/>
      <c r="D134" s="4"/>
    </row>
    <row r="135" spans="1:4" ht="15.75" customHeight="1" x14ac:dyDescent="0.3">
      <c r="A135" s="4"/>
      <c r="B135" s="4"/>
      <c r="C135" s="4"/>
      <c r="D135" s="4"/>
    </row>
    <row r="136" spans="1:4" ht="15.75" customHeight="1" x14ac:dyDescent="0.3">
      <c r="A136" s="4"/>
      <c r="B136" s="4"/>
      <c r="C136" s="4"/>
      <c r="D136" s="4"/>
    </row>
    <row r="137" spans="1:4" ht="15.75" customHeight="1" x14ac:dyDescent="0.3">
      <c r="A137" s="4"/>
      <c r="B137" s="4"/>
      <c r="C137" s="4"/>
      <c r="D137" s="4"/>
    </row>
    <row r="138" spans="1:4" ht="15.75" customHeight="1" x14ac:dyDescent="0.3">
      <c r="A138" s="4"/>
      <c r="B138" s="4"/>
      <c r="C138" s="4"/>
      <c r="D138" s="4"/>
    </row>
    <row r="139" spans="1:4" ht="15.75" customHeight="1" x14ac:dyDescent="0.3">
      <c r="A139" s="4"/>
      <c r="B139" s="4"/>
      <c r="C139" s="4"/>
      <c r="D139" s="4"/>
    </row>
    <row r="140" spans="1:4" ht="15.75" customHeight="1" x14ac:dyDescent="0.3">
      <c r="A140" s="4"/>
      <c r="B140" s="4"/>
      <c r="C140" s="4"/>
      <c r="D140" s="4"/>
    </row>
    <row r="141" spans="1:4" ht="15.75" customHeight="1" x14ac:dyDescent="0.3">
      <c r="A141" s="4"/>
      <c r="B141" s="4"/>
      <c r="C141" s="4"/>
      <c r="D141" s="4"/>
    </row>
    <row r="142" spans="1:4" ht="15.75" customHeight="1" x14ac:dyDescent="0.3">
      <c r="A142" s="4"/>
      <c r="B142" s="4"/>
      <c r="C142" s="4"/>
      <c r="D142" s="4"/>
    </row>
    <row r="143" spans="1:4" ht="15.75" customHeight="1" x14ac:dyDescent="0.3">
      <c r="A143" s="4"/>
      <c r="B143" s="4"/>
      <c r="C143" s="4"/>
      <c r="D143" s="4"/>
    </row>
    <row r="144" spans="1:4" ht="15.75" customHeight="1" x14ac:dyDescent="0.3">
      <c r="A144" s="4"/>
      <c r="B144" s="4"/>
      <c r="C144" s="4"/>
      <c r="D144" s="4"/>
    </row>
    <row r="145" spans="1:4" ht="15.75" customHeight="1" x14ac:dyDescent="0.3">
      <c r="A145" s="4"/>
      <c r="B145" s="4"/>
      <c r="C145" s="4"/>
      <c r="D145" s="4"/>
    </row>
    <row r="146" spans="1:4" ht="15.75" customHeight="1" x14ac:dyDescent="0.3">
      <c r="A146" s="4"/>
      <c r="B146" s="4"/>
      <c r="C146" s="4"/>
      <c r="D146" s="4"/>
    </row>
    <row r="147" spans="1:4" ht="15.75" customHeight="1" x14ac:dyDescent="0.3">
      <c r="A147" s="4"/>
      <c r="B147" s="4"/>
      <c r="C147" s="4"/>
      <c r="D147" s="4"/>
    </row>
    <row r="148" spans="1:4" ht="15.75" customHeight="1" x14ac:dyDescent="0.3">
      <c r="A148" s="4"/>
      <c r="B148" s="4"/>
      <c r="C148" s="4"/>
      <c r="D148" s="4"/>
    </row>
    <row r="149" spans="1:4" ht="15.75" customHeight="1" x14ac:dyDescent="0.3">
      <c r="A149" s="4"/>
      <c r="B149" s="4"/>
      <c r="C149" s="4"/>
      <c r="D149" s="4"/>
    </row>
    <row r="150" spans="1:4" ht="15.75" customHeight="1" x14ac:dyDescent="0.3">
      <c r="A150" s="4"/>
      <c r="B150" s="4"/>
      <c r="C150" s="4"/>
      <c r="D150" s="4"/>
    </row>
    <row r="151" spans="1:4" ht="15.75" customHeight="1" x14ac:dyDescent="0.3">
      <c r="A151" s="4"/>
      <c r="B151" s="4"/>
      <c r="C151" s="4"/>
      <c r="D151" s="4"/>
    </row>
    <row r="152" spans="1:4" ht="15.75" customHeight="1" x14ac:dyDescent="0.3">
      <c r="A152" s="4"/>
      <c r="B152" s="4"/>
      <c r="C152" s="4"/>
      <c r="D152" s="4"/>
    </row>
    <row r="153" spans="1:4" ht="15.75" customHeight="1" x14ac:dyDescent="0.3">
      <c r="A153" s="4"/>
      <c r="B153" s="4"/>
      <c r="C153" s="4"/>
      <c r="D153" s="4"/>
    </row>
    <row r="154" spans="1:4" ht="15.75" customHeight="1" x14ac:dyDescent="0.3">
      <c r="A154" s="4"/>
      <c r="B154" s="4"/>
      <c r="C154" s="4"/>
      <c r="D154" s="4"/>
    </row>
    <row r="155" spans="1:4" ht="15.75" customHeight="1" x14ac:dyDescent="0.3">
      <c r="A155" s="4"/>
      <c r="B155" s="4"/>
      <c r="C155" s="4"/>
      <c r="D155" s="4"/>
    </row>
    <row r="156" spans="1:4" ht="15.75" customHeight="1" x14ac:dyDescent="0.3">
      <c r="A156" s="4"/>
      <c r="B156" s="4"/>
      <c r="C156" s="4"/>
      <c r="D156" s="4"/>
    </row>
    <row r="157" spans="1:4" ht="15.75" customHeight="1" x14ac:dyDescent="0.3">
      <c r="A157" s="4"/>
      <c r="B157" s="4"/>
      <c r="C157" s="4"/>
      <c r="D157" s="4"/>
    </row>
    <row r="158" spans="1:4" ht="15.75" customHeight="1" x14ac:dyDescent="0.3">
      <c r="A158" s="4"/>
      <c r="B158" s="4"/>
      <c r="C158" s="4"/>
      <c r="D158" s="4"/>
    </row>
    <row r="159" spans="1:4" ht="15.75" customHeight="1" x14ac:dyDescent="0.3">
      <c r="A159" s="4"/>
      <c r="B159" s="4"/>
      <c r="C159" s="4"/>
      <c r="D159" s="4"/>
    </row>
    <row r="160" spans="1:4" ht="15.75" customHeight="1" x14ac:dyDescent="0.3">
      <c r="A160" s="4"/>
      <c r="B160" s="4"/>
      <c r="C160" s="4"/>
      <c r="D160" s="4"/>
    </row>
    <row r="161" spans="1:4" ht="15.75" customHeight="1" x14ac:dyDescent="0.3">
      <c r="A161" s="4"/>
      <c r="B161" s="4"/>
      <c r="C161" s="4"/>
      <c r="D161" s="4"/>
    </row>
    <row r="162" spans="1:4" ht="15.75" customHeight="1" x14ac:dyDescent="0.3">
      <c r="A162" s="4"/>
      <c r="B162" s="4"/>
      <c r="C162" s="4"/>
      <c r="D162" s="4"/>
    </row>
    <row r="163" spans="1:4" ht="15.75" customHeight="1" x14ac:dyDescent="0.3">
      <c r="A163" s="4"/>
      <c r="B163" s="4"/>
      <c r="C163" s="4"/>
      <c r="D163" s="4"/>
    </row>
    <row r="164" spans="1:4" ht="15.75" customHeight="1" x14ac:dyDescent="0.3">
      <c r="A164" s="4"/>
      <c r="B164" s="4"/>
      <c r="C164" s="4"/>
      <c r="D164" s="4"/>
    </row>
    <row r="165" spans="1:4" ht="15.75" customHeight="1" x14ac:dyDescent="0.3">
      <c r="A165" s="4"/>
      <c r="B165" s="4"/>
      <c r="C165" s="4"/>
      <c r="D165" s="4"/>
    </row>
    <row r="166" spans="1:4" ht="15.75" customHeight="1" x14ac:dyDescent="0.3">
      <c r="A166" s="4"/>
      <c r="B166" s="4"/>
      <c r="C166" s="4"/>
      <c r="D166" s="4"/>
    </row>
    <row r="167" spans="1:4" ht="15.75" customHeight="1" x14ac:dyDescent="0.3">
      <c r="A167" s="4"/>
      <c r="B167" s="4"/>
      <c r="C167" s="4"/>
      <c r="D167" s="4"/>
    </row>
    <row r="168" spans="1:4" ht="15.75" customHeight="1" x14ac:dyDescent="0.3">
      <c r="A168" s="4"/>
      <c r="B168" s="4"/>
      <c r="C168" s="4"/>
      <c r="D168" s="4"/>
    </row>
    <row r="169" spans="1:4" ht="15.75" customHeight="1" x14ac:dyDescent="0.3">
      <c r="A169" s="4"/>
      <c r="B169" s="4"/>
      <c r="C169" s="4"/>
      <c r="D169" s="4"/>
    </row>
    <row r="170" spans="1:4" ht="15.75" customHeight="1" x14ac:dyDescent="0.3">
      <c r="A170" s="4"/>
      <c r="B170" s="4"/>
      <c r="C170" s="4"/>
      <c r="D170" s="4"/>
    </row>
    <row r="171" spans="1:4" ht="15.75" customHeight="1" x14ac:dyDescent="0.3">
      <c r="A171" s="4"/>
      <c r="B171" s="4"/>
      <c r="C171" s="4"/>
      <c r="D171" s="4"/>
    </row>
    <row r="172" spans="1:4" ht="15.75" customHeight="1" x14ac:dyDescent="0.3">
      <c r="A172" s="4"/>
      <c r="B172" s="4"/>
      <c r="C172" s="4"/>
      <c r="D172" s="4"/>
    </row>
    <row r="173" spans="1:4" ht="15.75" customHeight="1" x14ac:dyDescent="0.3">
      <c r="A173" s="4"/>
      <c r="B173" s="4"/>
      <c r="C173" s="4"/>
      <c r="D173" s="4"/>
    </row>
    <row r="174" spans="1:4" ht="15.75" customHeight="1" x14ac:dyDescent="0.3">
      <c r="A174" s="4"/>
      <c r="B174" s="4"/>
      <c r="C174" s="4"/>
      <c r="D174" s="4"/>
    </row>
    <row r="175" spans="1:4" ht="15.75" customHeight="1" x14ac:dyDescent="0.3">
      <c r="A175" s="4"/>
      <c r="B175" s="4"/>
      <c r="C175" s="4"/>
      <c r="D175" s="4"/>
    </row>
    <row r="176" spans="1:4" ht="15.75" customHeight="1" x14ac:dyDescent="0.3">
      <c r="A176" s="4"/>
      <c r="B176" s="4"/>
      <c r="C176" s="4"/>
      <c r="D176" s="4"/>
    </row>
    <row r="177" spans="1:4" ht="15.75" customHeight="1" x14ac:dyDescent="0.3">
      <c r="A177" s="4"/>
      <c r="B177" s="4"/>
      <c r="C177" s="4"/>
      <c r="D177" s="4"/>
    </row>
    <row r="178" spans="1:4" ht="15.75" customHeight="1" x14ac:dyDescent="0.3">
      <c r="A178" s="4"/>
      <c r="B178" s="4"/>
      <c r="C178" s="4"/>
      <c r="D178" s="4"/>
    </row>
    <row r="179" spans="1:4" ht="15.75" customHeight="1" x14ac:dyDescent="0.3">
      <c r="A179" s="4"/>
      <c r="B179" s="4"/>
      <c r="C179" s="4"/>
      <c r="D179" s="4"/>
    </row>
    <row r="180" spans="1:4" ht="15.75" customHeight="1" x14ac:dyDescent="0.3">
      <c r="A180" s="4"/>
      <c r="B180" s="4"/>
      <c r="C180" s="4"/>
      <c r="D180" s="4"/>
    </row>
    <row r="181" spans="1:4" ht="15.75" customHeight="1" x14ac:dyDescent="0.3">
      <c r="A181" s="4"/>
      <c r="B181" s="4"/>
      <c r="C181" s="4"/>
      <c r="D181" s="4"/>
    </row>
    <row r="182" spans="1:4" ht="15.75" customHeight="1" x14ac:dyDescent="0.3">
      <c r="A182" s="4"/>
      <c r="B182" s="4"/>
      <c r="C182" s="4"/>
      <c r="D182" s="4"/>
    </row>
    <row r="183" spans="1:4" ht="15.75" customHeight="1" x14ac:dyDescent="0.3">
      <c r="A183" s="4"/>
      <c r="B183" s="4"/>
      <c r="C183" s="4"/>
      <c r="D183" s="4"/>
    </row>
    <row r="184" spans="1:4" ht="15.75" customHeight="1" x14ac:dyDescent="0.3">
      <c r="A184" s="4"/>
      <c r="B184" s="4"/>
      <c r="C184" s="4"/>
      <c r="D184" s="4"/>
    </row>
    <row r="185" spans="1:4" ht="15.75" customHeight="1" x14ac:dyDescent="0.3">
      <c r="A185" s="4"/>
      <c r="B185" s="4"/>
      <c r="C185" s="4"/>
      <c r="D185" s="4"/>
    </row>
    <row r="186" spans="1:4" ht="15.75" customHeight="1" x14ac:dyDescent="0.3">
      <c r="A186" s="4"/>
      <c r="B186" s="4"/>
      <c r="C186" s="4"/>
      <c r="D186" s="4"/>
    </row>
    <row r="187" spans="1:4" ht="15.75" customHeight="1" x14ac:dyDescent="0.3">
      <c r="A187" s="4"/>
      <c r="B187" s="4"/>
      <c r="C187" s="4"/>
      <c r="D187" s="4"/>
    </row>
    <row r="188" spans="1:4" ht="15.75" customHeight="1" x14ac:dyDescent="0.3">
      <c r="A188" s="4"/>
      <c r="B188" s="4"/>
      <c r="C188" s="4"/>
      <c r="D188" s="4"/>
    </row>
    <row r="189" spans="1:4" ht="15.75" customHeight="1" x14ac:dyDescent="0.3">
      <c r="A189" s="4"/>
      <c r="B189" s="4"/>
      <c r="C189" s="4"/>
      <c r="D189" s="4"/>
    </row>
    <row r="190" spans="1:4" ht="15.75" customHeight="1" x14ac:dyDescent="0.3">
      <c r="A190" s="4"/>
      <c r="B190" s="4"/>
      <c r="C190" s="4"/>
      <c r="D190" s="4"/>
    </row>
    <row r="191" spans="1:4" ht="15.75" customHeight="1" x14ac:dyDescent="0.3">
      <c r="A191" s="4"/>
      <c r="B191" s="4"/>
      <c r="C191" s="4"/>
      <c r="D191" s="4"/>
    </row>
    <row r="192" spans="1:4" ht="15.75" customHeight="1" x14ac:dyDescent="0.3">
      <c r="A192" s="4"/>
      <c r="B192" s="4"/>
      <c r="C192" s="4"/>
      <c r="D192" s="4"/>
    </row>
    <row r="193" spans="1:4" ht="15.75" customHeight="1" x14ac:dyDescent="0.3">
      <c r="A193" s="4"/>
      <c r="B193" s="4"/>
      <c r="C193" s="4"/>
      <c r="D193" s="4"/>
    </row>
    <row r="194" spans="1:4" ht="15.75" customHeight="1" x14ac:dyDescent="0.3">
      <c r="A194" s="4"/>
      <c r="B194" s="4"/>
      <c r="C194" s="4"/>
      <c r="D194" s="4"/>
    </row>
    <row r="195" spans="1:4" ht="15.75" customHeight="1" x14ac:dyDescent="0.3">
      <c r="A195" s="4"/>
      <c r="B195" s="4"/>
      <c r="C195" s="4"/>
      <c r="D195" s="4"/>
    </row>
    <row r="196" spans="1:4" ht="15.75" customHeight="1" x14ac:dyDescent="0.3">
      <c r="A196" s="4"/>
      <c r="B196" s="4"/>
      <c r="C196" s="4"/>
      <c r="D196" s="4"/>
    </row>
    <row r="197" spans="1:4" ht="15.75" customHeight="1" x14ac:dyDescent="0.3">
      <c r="A197" s="4"/>
      <c r="B197" s="4"/>
      <c r="C197" s="4"/>
      <c r="D197" s="4"/>
    </row>
    <row r="198" spans="1:4" ht="15.75" customHeight="1" x14ac:dyDescent="0.3">
      <c r="A198" s="4"/>
      <c r="B198" s="4"/>
      <c r="C198" s="4"/>
      <c r="D198" s="4"/>
    </row>
    <row r="199" spans="1:4" ht="15.75" customHeight="1" x14ac:dyDescent="0.3">
      <c r="A199" s="4"/>
      <c r="B199" s="4"/>
      <c r="C199" s="4"/>
      <c r="D199" s="4"/>
    </row>
    <row r="200" spans="1:4" ht="15.75" customHeight="1" x14ac:dyDescent="0.3">
      <c r="A200" s="4"/>
      <c r="B200" s="4"/>
      <c r="C200" s="4"/>
      <c r="D200" s="4"/>
    </row>
    <row r="201" spans="1:4" ht="15.75" customHeight="1" x14ac:dyDescent="0.3">
      <c r="A201" s="4"/>
      <c r="B201" s="4"/>
      <c r="C201" s="4"/>
      <c r="D201" s="4"/>
    </row>
    <row r="202" spans="1:4" ht="15.75" customHeight="1" x14ac:dyDescent="0.3">
      <c r="A202" s="4"/>
      <c r="B202" s="4"/>
      <c r="C202" s="4"/>
      <c r="D202" s="4"/>
    </row>
    <row r="203" spans="1:4" ht="15.75" customHeight="1" x14ac:dyDescent="0.3">
      <c r="A203" s="4"/>
      <c r="B203" s="4"/>
      <c r="C203" s="4"/>
      <c r="D203" s="4"/>
    </row>
    <row r="204" spans="1:4" ht="15.75" customHeight="1" x14ac:dyDescent="0.3">
      <c r="A204" s="4"/>
      <c r="B204" s="4"/>
      <c r="C204" s="4"/>
      <c r="D204" s="4"/>
    </row>
    <row r="205" spans="1:4" ht="15.75" customHeight="1" x14ac:dyDescent="0.3">
      <c r="A205" s="4"/>
      <c r="B205" s="4"/>
      <c r="C205" s="4"/>
      <c r="D205" s="4"/>
    </row>
    <row r="206" spans="1:4" ht="15.75" customHeight="1" x14ac:dyDescent="0.3">
      <c r="A206" s="4"/>
      <c r="B206" s="4"/>
      <c r="C206" s="4"/>
      <c r="D206" s="4"/>
    </row>
    <row r="207" spans="1:4" ht="15.75" customHeight="1" x14ac:dyDescent="0.3">
      <c r="A207" s="4"/>
      <c r="B207" s="4"/>
      <c r="C207" s="4"/>
      <c r="D207" s="4"/>
    </row>
    <row r="208" spans="1:4" ht="15.75" customHeight="1" x14ac:dyDescent="0.3">
      <c r="A208" s="4"/>
      <c r="B208" s="4"/>
      <c r="C208" s="4"/>
      <c r="D208" s="4"/>
    </row>
    <row r="209" spans="1:4" ht="15.75" customHeight="1" x14ac:dyDescent="0.3">
      <c r="A209" s="4"/>
      <c r="B209" s="4"/>
      <c r="C209" s="4"/>
      <c r="D209" s="4"/>
    </row>
    <row r="210" spans="1:4" ht="15.75" customHeight="1" x14ac:dyDescent="0.3">
      <c r="A210" s="4"/>
      <c r="B210" s="4"/>
      <c r="C210" s="4"/>
      <c r="D210" s="4"/>
    </row>
    <row r="211" spans="1:4" ht="15.75" customHeight="1" x14ac:dyDescent="0.3">
      <c r="A211" s="4"/>
      <c r="B211" s="4"/>
      <c r="C211" s="4"/>
      <c r="D211" s="4"/>
    </row>
    <row r="212" spans="1:4" ht="15.75" customHeight="1" x14ac:dyDescent="0.3">
      <c r="A212" s="4"/>
      <c r="B212" s="4"/>
      <c r="C212" s="4"/>
      <c r="D212" s="4"/>
    </row>
    <row r="213" spans="1:4" ht="15.75" customHeight="1" x14ac:dyDescent="0.3">
      <c r="A213" s="4"/>
      <c r="B213" s="4"/>
      <c r="C213" s="4"/>
      <c r="D213" s="4"/>
    </row>
    <row r="214" spans="1:4" ht="15.75" customHeight="1" x14ac:dyDescent="0.3">
      <c r="A214" s="4"/>
      <c r="B214" s="4"/>
      <c r="C214" s="4"/>
      <c r="D214" s="4"/>
    </row>
    <row r="215" spans="1:4" ht="15.75" customHeight="1" x14ac:dyDescent="0.3">
      <c r="A215" s="4"/>
      <c r="B215" s="4"/>
      <c r="C215" s="4"/>
      <c r="D215" s="4"/>
    </row>
    <row r="216" spans="1:4" ht="15.75" customHeight="1" x14ac:dyDescent="0.3">
      <c r="A216" s="4"/>
      <c r="B216" s="4"/>
      <c r="C216" s="4"/>
      <c r="D216" s="4"/>
    </row>
    <row r="217" spans="1:4" ht="15.75" customHeight="1" x14ac:dyDescent="0.3">
      <c r="A217" s="4"/>
      <c r="B217" s="4"/>
      <c r="C217" s="4"/>
      <c r="D217" s="4"/>
    </row>
    <row r="218" spans="1:4" ht="15.75" customHeight="1" x14ac:dyDescent="0.3">
      <c r="A218" s="4"/>
      <c r="B218" s="4"/>
      <c r="C218" s="4"/>
      <c r="D218" s="4"/>
    </row>
    <row r="219" spans="1:4" ht="15.75" customHeight="1" x14ac:dyDescent="0.3">
      <c r="A219" s="4"/>
      <c r="B219" s="4"/>
      <c r="C219" s="4"/>
      <c r="D219" s="4"/>
    </row>
    <row r="220" spans="1:4" ht="15.75" customHeight="1" x14ac:dyDescent="0.3">
      <c r="A220" s="4"/>
      <c r="B220" s="4"/>
      <c r="C220" s="4"/>
      <c r="D220" s="4"/>
    </row>
    <row r="221" spans="1:4" ht="15.75" customHeight="1" x14ac:dyDescent="0.3">
      <c r="A221" s="4"/>
      <c r="B221" s="4"/>
      <c r="C221" s="4"/>
      <c r="D221" s="4"/>
    </row>
    <row r="222" spans="1:4" ht="15.75" customHeight="1" x14ac:dyDescent="0.3">
      <c r="A222" s="4"/>
      <c r="B222" s="4"/>
      <c r="C222" s="4"/>
      <c r="D222" s="4"/>
    </row>
    <row r="223" spans="1:4" ht="15.75" customHeight="1" x14ac:dyDescent="0.3">
      <c r="A223" s="4"/>
      <c r="B223" s="4"/>
      <c r="C223" s="4"/>
      <c r="D223" s="4"/>
    </row>
    <row r="224" spans="1:4" ht="15.75" customHeight="1" x14ac:dyDescent="0.3">
      <c r="A224" s="4"/>
      <c r="B224" s="4"/>
      <c r="C224" s="4"/>
      <c r="D224" s="4"/>
    </row>
    <row r="225" spans="1:4" ht="15.75" customHeight="1" x14ac:dyDescent="0.3">
      <c r="A225" s="4"/>
      <c r="B225" s="4"/>
      <c r="C225" s="4"/>
      <c r="D225" s="4"/>
    </row>
    <row r="226" spans="1:4" ht="15.75" customHeight="1" x14ac:dyDescent="0.3">
      <c r="A226" s="4"/>
      <c r="B226" s="4"/>
      <c r="C226" s="4"/>
      <c r="D226" s="4"/>
    </row>
    <row r="227" spans="1:4" ht="15.75" customHeight="1" x14ac:dyDescent="0.3">
      <c r="A227" s="4"/>
      <c r="B227" s="4"/>
      <c r="C227" s="4"/>
      <c r="D227" s="4"/>
    </row>
    <row r="228" spans="1:4" ht="15.75" customHeight="1" x14ac:dyDescent="0.3">
      <c r="A228" s="4"/>
      <c r="B228" s="4"/>
      <c r="C228" s="4"/>
      <c r="D228" s="4"/>
    </row>
    <row r="229" spans="1:4" ht="15.75" customHeight="1" x14ac:dyDescent="0.3">
      <c r="A229" s="4"/>
      <c r="B229" s="4"/>
      <c r="C229" s="4"/>
      <c r="D229" s="4"/>
    </row>
    <row r="230" spans="1:4" ht="15.75" customHeight="1" x14ac:dyDescent="0.3">
      <c r="A230" s="4"/>
      <c r="B230" s="4"/>
      <c r="C230" s="4"/>
      <c r="D230" s="4"/>
    </row>
    <row r="231" spans="1:4" ht="15.75" customHeight="1" x14ac:dyDescent="0.3">
      <c r="A231" s="4"/>
      <c r="B231" s="4"/>
      <c r="C231" s="4"/>
      <c r="D231" s="4"/>
    </row>
    <row r="232" spans="1:4" ht="15.75" customHeight="1" x14ac:dyDescent="0.3">
      <c r="A232" s="4"/>
      <c r="B232" s="4"/>
      <c r="C232" s="4"/>
      <c r="D232" s="4"/>
    </row>
    <row r="233" spans="1:4" ht="15.75" customHeight="1" x14ac:dyDescent="0.3">
      <c r="A233" s="4"/>
      <c r="B233" s="4"/>
      <c r="C233" s="4"/>
      <c r="D233" s="4"/>
    </row>
    <row r="234" spans="1:4" ht="15.75" customHeight="1" x14ac:dyDescent="0.3">
      <c r="A234" s="4"/>
      <c r="B234" s="4"/>
      <c r="C234" s="4"/>
      <c r="D234" s="4"/>
    </row>
    <row r="235" spans="1:4" ht="15.75" customHeight="1" x14ac:dyDescent="0.3">
      <c r="A235" s="4"/>
      <c r="B235" s="4"/>
      <c r="C235" s="4"/>
      <c r="D235" s="4"/>
    </row>
    <row r="236" spans="1:4" ht="15.75" customHeight="1" x14ac:dyDescent="0.3">
      <c r="A236" s="4"/>
      <c r="B236" s="4"/>
      <c r="C236" s="4"/>
      <c r="D236" s="4"/>
    </row>
    <row r="237" spans="1:4" ht="15.75" customHeight="1" x14ac:dyDescent="0.3">
      <c r="A237" s="4"/>
      <c r="B237" s="4"/>
      <c r="C237" s="4"/>
      <c r="D237" s="4"/>
    </row>
    <row r="238" spans="1:4" ht="15.75" customHeight="1" x14ac:dyDescent="0.3">
      <c r="A238" s="4"/>
      <c r="B238" s="4"/>
      <c r="C238" s="4"/>
      <c r="D238" s="4"/>
    </row>
    <row r="239" spans="1:4" ht="15.75" customHeight="1" x14ac:dyDescent="0.3">
      <c r="A239" s="4"/>
      <c r="B239" s="4"/>
      <c r="C239" s="4"/>
      <c r="D239" s="4"/>
    </row>
    <row r="240" spans="1:4" ht="15.75" customHeight="1" x14ac:dyDescent="0.3">
      <c r="A240" s="4"/>
      <c r="B240" s="4"/>
      <c r="C240" s="4"/>
      <c r="D240" s="4"/>
    </row>
    <row r="241" spans="1:4" ht="15.75" customHeight="1" x14ac:dyDescent="0.3">
      <c r="A241" s="4"/>
      <c r="B241" s="4"/>
      <c r="C241" s="4"/>
      <c r="D241" s="4"/>
    </row>
    <row r="242" spans="1:4" ht="15.75" customHeight="1" x14ac:dyDescent="0.3">
      <c r="A242" s="4"/>
      <c r="B242" s="4"/>
      <c r="C242" s="4"/>
      <c r="D242" s="4"/>
    </row>
    <row r="243" spans="1:4" ht="15.75" customHeight="1" x14ac:dyDescent="0.3">
      <c r="A243" s="4"/>
      <c r="B243" s="4"/>
      <c r="C243" s="4"/>
      <c r="D243" s="4"/>
    </row>
    <row r="244" spans="1:4" ht="15.75" customHeight="1" x14ac:dyDescent="0.3">
      <c r="A244" s="4"/>
      <c r="B244" s="4"/>
      <c r="C244" s="4"/>
      <c r="D244" s="4"/>
    </row>
    <row r="245" spans="1:4" ht="15.75" customHeight="1" x14ac:dyDescent="0.3">
      <c r="A245" s="4"/>
      <c r="B245" s="4"/>
      <c r="C245" s="4"/>
      <c r="D245" s="4"/>
    </row>
    <row r="246" spans="1:4" ht="15.75" customHeight="1" x14ac:dyDescent="0.3">
      <c r="A246" s="4"/>
      <c r="B246" s="4"/>
      <c r="C246" s="4"/>
      <c r="D246" s="4"/>
    </row>
    <row r="247" spans="1:4" ht="15.75" customHeight="1" x14ac:dyDescent="0.3">
      <c r="A247" s="4"/>
      <c r="B247" s="4"/>
      <c r="C247" s="4"/>
      <c r="D247" s="4"/>
    </row>
    <row r="248" spans="1:4" ht="15.75" customHeight="1" x14ac:dyDescent="0.3">
      <c r="A248" s="4"/>
      <c r="B248" s="4"/>
      <c r="C248" s="4"/>
      <c r="D248" s="4"/>
    </row>
    <row r="249" spans="1:4" ht="15.75" customHeight="1" x14ac:dyDescent="0.3">
      <c r="A249" s="4"/>
      <c r="B249" s="4"/>
      <c r="C249" s="4"/>
      <c r="D249" s="4"/>
    </row>
    <row r="250" spans="1:4" ht="15.75" customHeight="1" x14ac:dyDescent="0.3">
      <c r="A250" s="4"/>
      <c r="B250" s="4"/>
      <c r="C250" s="4"/>
      <c r="D250" s="4"/>
    </row>
    <row r="251" spans="1:4" ht="15.75" customHeight="1" x14ac:dyDescent="0.3">
      <c r="A251" s="4"/>
      <c r="B251" s="4"/>
      <c r="C251" s="4"/>
      <c r="D251" s="4"/>
    </row>
    <row r="252" spans="1:4" ht="15.75" customHeight="1" x14ac:dyDescent="0.3">
      <c r="A252" s="4"/>
      <c r="B252" s="4"/>
      <c r="C252" s="4"/>
      <c r="D252" s="4"/>
    </row>
    <row r="253" spans="1:4" ht="15.75" customHeight="1" x14ac:dyDescent="0.3">
      <c r="A253" s="4"/>
      <c r="B253" s="4"/>
      <c r="C253" s="4"/>
      <c r="D253" s="4"/>
    </row>
    <row r="254" spans="1:4" ht="15.75" customHeight="1" x14ac:dyDescent="0.3">
      <c r="A254" s="4"/>
      <c r="B254" s="4"/>
      <c r="C254" s="4"/>
      <c r="D254" s="4"/>
    </row>
    <row r="255" spans="1:4" ht="15.75" customHeight="1" x14ac:dyDescent="0.3">
      <c r="A255" s="4"/>
      <c r="B255" s="4"/>
      <c r="C255" s="4"/>
      <c r="D255" s="4"/>
    </row>
    <row r="256" spans="1:4" ht="15.75" customHeight="1" x14ac:dyDescent="0.3">
      <c r="A256" s="4"/>
      <c r="B256" s="4"/>
      <c r="C256" s="4"/>
      <c r="D256" s="4"/>
    </row>
    <row r="257" spans="1:4" ht="15.75" customHeight="1" x14ac:dyDescent="0.3">
      <c r="A257" s="4"/>
      <c r="B257" s="4"/>
      <c r="C257" s="4"/>
      <c r="D257" s="4"/>
    </row>
    <row r="258" spans="1:4" ht="15.75" customHeight="1" x14ac:dyDescent="0.3">
      <c r="A258" s="4"/>
      <c r="B258" s="4"/>
      <c r="C258" s="4"/>
      <c r="D258" s="4"/>
    </row>
    <row r="259" spans="1:4" ht="15.75" customHeight="1" x14ac:dyDescent="0.3">
      <c r="A259" s="4"/>
      <c r="B259" s="4"/>
      <c r="C259" s="4"/>
      <c r="D259" s="4"/>
    </row>
    <row r="260" spans="1:4" ht="15.75" customHeight="1" x14ac:dyDescent="0.3">
      <c r="A260" s="4"/>
      <c r="B260" s="4"/>
      <c r="C260" s="4"/>
      <c r="D260" s="4"/>
    </row>
    <row r="261" spans="1:4" ht="15.75" customHeight="1" x14ac:dyDescent="0.3">
      <c r="A261" s="4"/>
      <c r="B261" s="4"/>
      <c r="C261" s="4"/>
      <c r="D261" s="4"/>
    </row>
    <row r="262" spans="1:4" ht="15.75" customHeight="1" x14ac:dyDescent="0.3">
      <c r="A262" s="4"/>
      <c r="B262" s="4"/>
      <c r="C262" s="4"/>
      <c r="D262" s="4"/>
    </row>
    <row r="263" spans="1:4" ht="15.75" customHeight="1" x14ac:dyDescent="0.3">
      <c r="A263" s="4"/>
      <c r="B263" s="4"/>
      <c r="C263" s="4"/>
      <c r="D263" s="4"/>
    </row>
    <row r="264" spans="1:4" ht="15.75" customHeight="1" x14ac:dyDescent="0.3">
      <c r="A264" s="4"/>
      <c r="B264" s="4"/>
      <c r="C264" s="4"/>
      <c r="D264" s="4"/>
    </row>
    <row r="265" spans="1:4" ht="15.75" customHeight="1" x14ac:dyDescent="0.3">
      <c r="A265" s="4"/>
      <c r="B265" s="4"/>
      <c r="C265" s="4"/>
      <c r="D265" s="4"/>
    </row>
    <row r="266" spans="1:4" ht="15.75" customHeight="1" x14ac:dyDescent="0.3">
      <c r="A266" s="4"/>
      <c r="B266" s="4"/>
      <c r="C266" s="4"/>
      <c r="D266" s="4"/>
    </row>
    <row r="267" spans="1:4" ht="15.75" customHeight="1" x14ac:dyDescent="0.3">
      <c r="A267" s="4"/>
      <c r="B267" s="4"/>
      <c r="C267" s="4"/>
      <c r="D267" s="4"/>
    </row>
    <row r="268" spans="1:4" ht="15.75" customHeight="1" x14ac:dyDescent="0.3">
      <c r="A268" s="4"/>
      <c r="B268" s="4"/>
      <c r="C268" s="4"/>
      <c r="D268" s="4"/>
    </row>
    <row r="269" spans="1:4" ht="15.75" customHeight="1" x14ac:dyDescent="0.3">
      <c r="A269" s="4"/>
      <c r="B269" s="4"/>
      <c r="C269" s="4"/>
      <c r="D269" s="4"/>
    </row>
    <row r="270" spans="1:4" ht="15.75" customHeight="1" x14ac:dyDescent="0.3">
      <c r="A270" s="4"/>
      <c r="B270" s="4"/>
      <c r="C270" s="4"/>
      <c r="D270" s="4"/>
    </row>
    <row r="271" spans="1:4" ht="15.75" customHeight="1" x14ac:dyDescent="0.3">
      <c r="A271" s="4"/>
      <c r="B271" s="4"/>
      <c r="C271" s="4"/>
      <c r="D271" s="4"/>
    </row>
    <row r="272" spans="1:4" ht="15.75" customHeight="1" x14ac:dyDescent="0.3">
      <c r="A272" s="4"/>
      <c r="B272" s="4"/>
      <c r="C272" s="4"/>
      <c r="D272" s="4"/>
    </row>
    <row r="273" spans="1:4" ht="15.75" customHeight="1" x14ac:dyDescent="0.3">
      <c r="A273" s="4"/>
      <c r="B273" s="4"/>
      <c r="C273" s="4"/>
      <c r="D273" s="4"/>
    </row>
    <row r="274" spans="1:4" ht="15.75" customHeight="1" x14ac:dyDescent="0.3">
      <c r="A274" s="4"/>
      <c r="B274" s="4"/>
      <c r="C274" s="4"/>
      <c r="D274" s="4"/>
    </row>
    <row r="275" spans="1:4" ht="15.75" customHeight="1" x14ac:dyDescent="0.3">
      <c r="A275" s="4"/>
      <c r="B275" s="4"/>
      <c r="C275" s="4"/>
      <c r="D275" s="4"/>
    </row>
    <row r="276" spans="1:4" ht="15.75" customHeight="1" x14ac:dyDescent="0.3">
      <c r="A276" s="4"/>
      <c r="B276" s="4"/>
      <c r="C276" s="4"/>
      <c r="D276" s="4"/>
    </row>
    <row r="277" spans="1:4" ht="15.75" customHeight="1" x14ac:dyDescent="0.3">
      <c r="A277" s="4"/>
      <c r="B277" s="4"/>
      <c r="C277" s="4"/>
      <c r="D277" s="4"/>
    </row>
    <row r="278" spans="1:4" ht="15.75" customHeight="1" x14ac:dyDescent="0.3">
      <c r="A278" s="4"/>
      <c r="B278" s="4"/>
      <c r="C278" s="4"/>
      <c r="D278" s="4"/>
    </row>
    <row r="279" spans="1:4" ht="15.75" customHeight="1" x14ac:dyDescent="0.3">
      <c r="A279" s="4"/>
      <c r="B279" s="4"/>
      <c r="C279" s="4"/>
      <c r="D279" s="4"/>
    </row>
    <row r="280" spans="1:4" ht="15.75" customHeight="1" x14ac:dyDescent="0.3">
      <c r="A280" s="4"/>
      <c r="B280" s="4"/>
      <c r="C280" s="4"/>
      <c r="D280" s="4"/>
    </row>
    <row r="281" spans="1:4" ht="15.75" customHeight="1" x14ac:dyDescent="0.3">
      <c r="A281" s="4"/>
      <c r="B281" s="4"/>
      <c r="C281" s="4"/>
      <c r="D281" s="4"/>
    </row>
    <row r="282" spans="1:4" ht="15.75" customHeight="1" x14ac:dyDescent="0.3">
      <c r="A282" s="4"/>
      <c r="B282" s="4"/>
      <c r="C282" s="4"/>
      <c r="D282" s="4"/>
    </row>
    <row r="283" spans="1:4" ht="15.75" customHeight="1" x14ac:dyDescent="0.3">
      <c r="A283" s="4"/>
      <c r="B283" s="4"/>
      <c r="C283" s="4"/>
      <c r="D283" s="4"/>
    </row>
    <row r="284" spans="1:4" ht="15.75" customHeight="1" x14ac:dyDescent="0.3">
      <c r="A284" s="4"/>
      <c r="B284" s="4"/>
      <c r="C284" s="4"/>
      <c r="D284" s="4"/>
    </row>
    <row r="285" spans="1:4" ht="15.75" customHeight="1" x14ac:dyDescent="0.3">
      <c r="A285" s="4"/>
      <c r="B285" s="4"/>
      <c r="C285" s="4"/>
      <c r="D285" s="4"/>
    </row>
    <row r="286" spans="1:4" ht="15.75" customHeight="1" x14ac:dyDescent="0.3">
      <c r="A286" s="4"/>
      <c r="B286" s="4"/>
      <c r="C286" s="4"/>
      <c r="D286" s="4"/>
    </row>
    <row r="287" spans="1:4" ht="15.75" customHeight="1" x14ac:dyDescent="0.3">
      <c r="A287" s="4"/>
      <c r="B287" s="4"/>
      <c r="C287" s="4"/>
      <c r="D287" s="4"/>
    </row>
    <row r="288" spans="1:4" ht="15.75" customHeight="1" x14ac:dyDescent="0.3">
      <c r="A288" s="4"/>
      <c r="B288" s="4"/>
      <c r="C288" s="4"/>
      <c r="D288" s="4"/>
    </row>
    <row r="289" spans="1:4" ht="15.75" customHeight="1" x14ac:dyDescent="0.3">
      <c r="A289" s="4"/>
      <c r="B289" s="4"/>
      <c r="C289" s="4"/>
      <c r="D289" s="4"/>
    </row>
    <row r="290" spans="1:4" ht="15.75" customHeight="1" x14ac:dyDescent="0.3">
      <c r="A290" s="4"/>
      <c r="B290" s="4"/>
      <c r="C290" s="4"/>
      <c r="D290" s="4"/>
    </row>
    <row r="291" spans="1:4" ht="15.75" customHeight="1" x14ac:dyDescent="0.3">
      <c r="A291" s="4"/>
      <c r="B291" s="4"/>
      <c r="C291" s="4"/>
      <c r="D291" s="4"/>
    </row>
    <row r="292" spans="1:4" ht="15.75" customHeight="1" x14ac:dyDescent="0.3">
      <c r="A292" s="4"/>
      <c r="B292" s="4"/>
      <c r="C292" s="4"/>
      <c r="D292" s="4"/>
    </row>
    <row r="293" spans="1:4" ht="15.75" customHeight="1" x14ac:dyDescent="0.3">
      <c r="A293" s="4"/>
      <c r="B293" s="4"/>
      <c r="C293" s="4"/>
      <c r="D293" s="4"/>
    </row>
    <row r="294" spans="1:4" ht="15.75" customHeight="1" x14ac:dyDescent="0.3">
      <c r="A294" s="4"/>
      <c r="B294" s="4"/>
      <c r="C294" s="4"/>
      <c r="D294" s="4"/>
    </row>
    <row r="295" spans="1:4" ht="15.75" customHeight="1" x14ac:dyDescent="0.3">
      <c r="A295" s="4"/>
      <c r="B295" s="4"/>
      <c r="C295" s="4"/>
      <c r="D295" s="4"/>
    </row>
    <row r="296" spans="1:4" ht="15.75" customHeight="1" x14ac:dyDescent="0.3">
      <c r="A296" s="4"/>
      <c r="B296" s="4"/>
      <c r="C296" s="4"/>
      <c r="D296" s="4"/>
    </row>
    <row r="297" spans="1:4" ht="15.75" customHeight="1" x14ac:dyDescent="0.3">
      <c r="A297" s="4"/>
      <c r="B297" s="4"/>
      <c r="C297" s="4"/>
      <c r="D297" s="4"/>
    </row>
    <row r="298" spans="1:4" ht="15.75" customHeight="1" x14ac:dyDescent="0.3">
      <c r="A298" s="4"/>
      <c r="B298" s="4"/>
      <c r="C298" s="4"/>
      <c r="D298" s="4"/>
    </row>
    <row r="299" spans="1:4" ht="15.75" customHeight="1" x14ac:dyDescent="0.3">
      <c r="A299" s="4"/>
      <c r="B299" s="4"/>
      <c r="C299" s="4"/>
      <c r="D299" s="4"/>
    </row>
    <row r="300" spans="1:4" ht="15.75" customHeight="1" x14ac:dyDescent="0.3">
      <c r="A300" s="4"/>
      <c r="B300" s="4"/>
      <c r="C300" s="4"/>
      <c r="D300" s="4"/>
    </row>
    <row r="301" spans="1:4" ht="15.75" customHeight="1" x14ac:dyDescent="0.3">
      <c r="A301" s="4"/>
      <c r="B301" s="4"/>
      <c r="C301" s="4"/>
      <c r="D301" s="4"/>
    </row>
    <row r="302" spans="1:4" ht="15.75" customHeight="1" x14ac:dyDescent="0.3">
      <c r="A302" s="4"/>
      <c r="B302" s="4"/>
      <c r="C302" s="4"/>
      <c r="D302" s="4"/>
    </row>
    <row r="303" spans="1:4" ht="15.75" customHeight="1" x14ac:dyDescent="0.3">
      <c r="A303" s="4"/>
      <c r="B303" s="4"/>
      <c r="C303" s="4"/>
      <c r="D303" s="4"/>
    </row>
    <row r="304" spans="1:4" ht="15.75" customHeight="1" x14ac:dyDescent="0.3">
      <c r="A304" s="4"/>
      <c r="B304" s="4"/>
      <c r="C304" s="4"/>
      <c r="D304" s="4"/>
    </row>
    <row r="305" spans="1:4" ht="15.75" customHeight="1" x14ac:dyDescent="0.3">
      <c r="A305" s="4"/>
      <c r="B305" s="4"/>
      <c r="C305" s="4"/>
      <c r="D305" s="4"/>
    </row>
    <row r="306" spans="1:4" ht="15.75" customHeight="1" x14ac:dyDescent="0.3">
      <c r="A306" s="4"/>
      <c r="B306" s="4"/>
      <c r="C306" s="4"/>
      <c r="D306" s="4"/>
    </row>
    <row r="307" spans="1:4" ht="15.75" customHeight="1" x14ac:dyDescent="0.3">
      <c r="A307" s="4"/>
      <c r="B307" s="4"/>
      <c r="C307" s="4"/>
      <c r="D307" s="4"/>
    </row>
    <row r="308" spans="1:4" ht="15.75" customHeight="1" x14ac:dyDescent="0.3">
      <c r="A308" s="4"/>
      <c r="B308" s="4"/>
      <c r="C308" s="4"/>
      <c r="D308" s="4"/>
    </row>
    <row r="309" spans="1:4" ht="15.75" customHeight="1" x14ac:dyDescent="0.3">
      <c r="A309" s="4"/>
      <c r="B309" s="4"/>
      <c r="C309" s="4"/>
      <c r="D309" s="4"/>
    </row>
    <row r="310" spans="1:4" ht="15.75" customHeight="1" x14ac:dyDescent="0.3">
      <c r="A310" s="4"/>
      <c r="B310" s="4"/>
      <c r="C310" s="4"/>
      <c r="D310" s="4"/>
    </row>
    <row r="311" spans="1:4" ht="15.75" customHeight="1" x14ac:dyDescent="0.3">
      <c r="A311" s="4"/>
      <c r="B311" s="4"/>
      <c r="C311" s="4"/>
      <c r="D311" s="4"/>
    </row>
    <row r="312" spans="1:4" ht="15.75" customHeight="1" x14ac:dyDescent="0.3">
      <c r="A312" s="4"/>
      <c r="B312" s="4"/>
      <c r="C312" s="4"/>
      <c r="D312" s="4"/>
    </row>
    <row r="313" spans="1:4" ht="15.75" customHeight="1" x14ac:dyDescent="0.3">
      <c r="A313" s="4"/>
      <c r="B313" s="4"/>
      <c r="C313" s="4"/>
      <c r="D313" s="4"/>
    </row>
    <row r="314" spans="1:4" ht="15.75" customHeight="1" x14ac:dyDescent="0.3">
      <c r="A314" s="4"/>
      <c r="B314" s="4"/>
      <c r="C314" s="4"/>
      <c r="D314" s="4"/>
    </row>
    <row r="315" spans="1:4" ht="15.75" customHeight="1" x14ac:dyDescent="0.3">
      <c r="A315" s="4"/>
      <c r="B315" s="4"/>
      <c r="C315" s="4"/>
      <c r="D315" s="4"/>
    </row>
    <row r="316" spans="1:4" ht="15.75" customHeight="1" x14ac:dyDescent="0.3">
      <c r="A316" s="4"/>
      <c r="B316" s="4"/>
      <c r="C316" s="4"/>
      <c r="D316" s="4"/>
    </row>
    <row r="317" spans="1:4" ht="15.75" customHeight="1" x14ac:dyDescent="0.3">
      <c r="A317" s="4"/>
      <c r="B317" s="4"/>
      <c r="C317" s="4"/>
      <c r="D317" s="4"/>
    </row>
    <row r="318" spans="1:4" ht="15.75" customHeight="1" x14ac:dyDescent="0.3">
      <c r="A318" s="4"/>
      <c r="B318" s="4"/>
      <c r="C318" s="4"/>
      <c r="D318" s="4"/>
    </row>
    <row r="319" spans="1:4" ht="15.75" customHeight="1" x14ac:dyDescent="0.3">
      <c r="A319" s="4"/>
      <c r="B319" s="4"/>
      <c r="C319" s="4"/>
      <c r="D319" s="4"/>
    </row>
    <row r="320" spans="1:4" ht="15.75" customHeight="1" x14ac:dyDescent="0.3">
      <c r="A320" s="4"/>
      <c r="B320" s="4"/>
      <c r="C320" s="4"/>
      <c r="D320" s="4"/>
    </row>
    <row r="321" spans="1:4" ht="15.75" customHeight="1" x14ac:dyDescent="0.3">
      <c r="A321" s="4"/>
      <c r="B321" s="4"/>
      <c r="C321" s="4"/>
      <c r="D321" s="4"/>
    </row>
    <row r="322" spans="1:4" ht="15.75" customHeight="1" x14ac:dyDescent="0.3">
      <c r="A322" s="4"/>
      <c r="B322" s="4"/>
      <c r="C322" s="4"/>
      <c r="D322" s="4"/>
    </row>
    <row r="323" spans="1:4" ht="15.75" customHeight="1" x14ac:dyDescent="0.3">
      <c r="A323" s="4"/>
      <c r="B323" s="4"/>
      <c r="C323" s="4"/>
      <c r="D323" s="4"/>
    </row>
    <row r="324" spans="1:4" ht="15.75" customHeight="1" x14ac:dyDescent="0.3">
      <c r="A324" s="4"/>
      <c r="B324" s="4"/>
      <c r="C324" s="4"/>
      <c r="D324" s="4"/>
    </row>
    <row r="325" spans="1:4" ht="15.75" customHeight="1" x14ac:dyDescent="0.3">
      <c r="A325" s="4"/>
      <c r="B325" s="4"/>
      <c r="C325" s="4"/>
      <c r="D325" s="4"/>
    </row>
    <row r="326" spans="1:4" ht="15.75" customHeight="1" x14ac:dyDescent="0.3">
      <c r="A326" s="4"/>
      <c r="B326" s="4"/>
      <c r="C326" s="4"/>
      <c r="D326" s="4"/>
    </row>
    <row r="327" spans="1:4" ht="15.75" customHeight="1" x14ac:dyDescent="0.3">
      <c r="A327" s="4"/>
      <c r="B327" s="4"/>
      <c r="C327" s="4"/>
      <c r="D327" s="4"/>
    </row>
    <row r="328" spans="1:4" ht="15.75" customHeight="1" x14ac:dyDescent="0.3">
      <c r="A328" s="4"/>
      <c r="B328" s="4"/>
      <c r="C328" s="4"/>
      <c r="D328" s="4"/>
    </row>
    <row r="329" spans="1:4" ht="15.75" customHeight="1" x14ac:dyDescent="0.3">
      <c r="A329" s="4"/>
      <c r="B329" s="4"/>
      <c r="C329" s="4"/>
      <c r="D329" s="4"/>
    </row>
    <row r="330" spans="1:4" ht="15.75" customHeight="1" x14ac:dyDescent="0.3">
      <c r="A330" s="4"/>
      <c r="B330" s="4"/>
      <c r="C330" s="4"/>
      <c r="D330" s="4"/>
    </row>
    <row r="331" spans="1:4" ht="15.75" customHeight="1" x14ac:dyDescent="0.3">
      <c r="A331" s="4"/>
      <c r="B331" s="4"/>
      <c r="C331" s="4"/>
      <c r="D331" s="4"/>
    </row>
    <row r="332" spans="1:4" ht="15.75" customHeight="1" x14ac:dyDescent="0.3">
      <c r="A332" s="4"/>
      <c r="B332" s="4"/>
      <c r="C332" s="4"/>
      <c r="D332" s="4"/>
    </row>
    <row r="333" spans="1:4" ht="15.75" customHeight="1" x14ac:dyDescent="0.3">
      <c r="A333" s="4"/>
      <c r="B333" s="4"/>
      <c r="C333" s="4"/>
      <c r="D333" s="4"/>
    </row>
    <row r="334" spans="1:4" ht="15.75" customHeight="1" x14ac:dyDescent="0.3">
      <c r="A334" s="4"/>
      <c r="B334" s="4"/>
      <c r="C334" s="4"/>
      <c r="D334" s="4"/>
    </row>
    <row r="335" spans="1:4" ht="15.75" customHeight="1" x14ac:dyDescent="0.3">
      <c r="A335" s="4"/>
      <c r="B335" s="4"/>
      <c r="C335" s="4"/>
      <c r="D335" s="4"/>
    </row>
    <row r="336" spans="1:4" ht="15.75" customHeight="1" x14ac:dyDescent="0.3">
      <c r="A336" s="4"/>
      <c r="B336" s="4"/>
      <c r="C336" s="4"/>
      <c r="D336" s="4"/>
    </row>
    <row r="337" spans="1:4" ht="15.75" customHeight="1" x14ac:dyDescent="0.3">
      <c r="A337" s="4"/>
      <c r="B337" s="4"/>
      <c r="C337" s="4"/>
      <c r="D337" s="4"/>
    </row>
    <row r="338" spans="1:4" ht="15.75" customHeight="1" x14ac:dyDescent="0.3">
      <c r="A338" s="4"/>
      <c r="B338" s="4"/>
      <c r="C338" s="4"/>
      <c r="D338" s="4"/>
    </row>
    <row r="339" spans="1:4" ht="15.75" customHeight="1" x14ac:dyDescent="0.3">
      <c r="A339" s="4"/>
      <c r="B339" s="4"/>
      <c r="C339" s="4"/>
      <c r="D339" s="4"/>
    </row>
    <row r="340" spans="1:4" ht="15.75" customHeight="1" x14ac:dyDescent="0.3">
      <c r="A340" s="4"/>
      <c r="B340" s="4"/>
      <c r="C340" s="4"/>
      <c r="D340" s="4"/>
    </row>
    <row r="341" spans="1:4" ht="15.75" customHeight="1" x14ac:dyDescent="0.3">
      <c r="A341" s="4"/>
      <c r="B341" s="4"/>
      <c r="C341" s="4"/>
      <c r="D341" s="4"/>
    </row>
    <row r="342" spans="1:4" ht="15.75" customHeight="1" x14ac:dyDescent="0.3">
      <c r="A342" s="4"/>
      <c r="B342" s="4"/>
      <c r="C342" s="4"/>
      <c r="D342" s="4"/>
    </row>
    <row r="343" spans="1:4" ht="15.75" customHeight="1" x14ac:dyDescent="0.3">
      <c r="A343" s="4"/>
      <c r="B343" s="4"/>
      <c r="C343" s="4"/>
      <c r="D343" s="4"/>
    </row>
    <row r="344" spans="1:4" ht="15.75" customHeight="1" x14ac:dyDescent="0.3">
      <c r="A344" s="4"/>
      <c r="B344" s="4"/>
      <c r="C344" s="4"/>
      <c r="D344" s="4"/>
    </row>
    <row r="345" spans="1:4" ht="15.75" customHeight="1" x14ac:dyDescent="0.3">
      <c r="A345" s="4"/>
      <c r="B345" s="4"/>
      <c r="C345" s="4"/>
      <c r="D345" s="4"/>
    </row>
    <row r="346" spans="1:4" ht="15.75" customHeight="1" x14ac:dyDescent="0.3">
      <c r="A346" s="4"/>
      <c r="B346" s="4"/>
      <c r="C346" s="4"/>
      <c r="D346" s="4"/>
    </row>
    <row r="347" spans="1:4" ht="15.75" customHeight="1" x14ac:dyDescent="0.3">
      <c r="A347" s="4"/>
      <c r="B347" s="4"/>
      <c r="C347" s="4"/>
      <c r="D347" s="4"/>
    </row>
    <row r="348" spans="1:4" ht="15.75" customHeight="1" x14ac:dyDescent="0.3">
      <c r="A348" s="4"/>
      <c r="B348" s="4"/>
      <c r="C348" s="4"/>
      <c r="D348" s="4"/>
    </row>
    <row r="349" spans="1:4" ht="15.75" customHeight="1" x14ac:dyDescent="0.3">
      <c r="A349" s="4"/>
      <c r="B349" s="4"/>
      <c r="C349" s="4"/>
      <c r="D349" s="4"/>
    </row>
    <row r="350" spans="1:4" ht="15.75" customHeight="1" x14ac:dyDescent="0.3">
      <c r="A350" s="4"/>
      <c r="B350" s="4"/>
      <c r="C350" s="4"/>
      <c r="D350" s="4"/>
    </row>
    <row r="351" spans="1:4" ht="15.75" customHeight="1" x14ac:dyDescent="0.3">
      <c r="A351" s="4"/>
      <c r="B351" s="4"/>
      <c r="C351" s="4"/>
      <c r="D351" s="4"/>
    </row>
    <row r="352" spans="1:4" ht="15.75" customHeight="1" x14ac:dyDescent="0.3">
      <c r="A352" s="4"/>
      <c r="B352" s="4"/>
      <c r="C352" s="4"/>
      <c r="D352" s="4"/>
    </row>
    <row r="353" spans="1:4" ht="15.75" customHeight="1" x14ac:dyDescent="0.3">
      <c r="A353" s="4"/>
      <c r="B353" s="4"/>
      <c r="C353" s="4"/>
      <c r="D353" s="4"/>
    </row>
    <row r="354" spans="1:4" ht="15.75" customHeight="1" x14ac:dyDescent="0.3">
      <c r="A354" s="4"/>
      <c r="B354" s="4"/>
      <c r="C354" s="4"/>
      <c r="D354" s="4"/>
    </row>
    <row r="355" spans="1:4" ht="15.75" customHeight="1" x14ac:dyDescent="0.3">
      <c r="A355" s="4"/>
      <c r="B355" s="4"/>
      <c r="C355" s="4"/>
      <c r="D355" s="4"/>
    </row>
    <row r="356" spans="1:4" ht="15.75" customHeight="1" x14ac:dyDescent="0.3">
      <c r="A356" s="4"/>
      <c r="B356" s="4"/>
      <c r="C356" s="4"/>
      <c r="D356" s="4"/>
    </row>
    <row r="357" spans="1:4" ht="15.75" customHeight="1" x14ac:dyDescent="0.3">
      <c r="A357" s="4"/>
      <c r="B357" s="4"/>
      <c r="C357" s="4"/>
      <c r="D357" s="4"/>
    </row>
    <row r="358" spans="1:4" ht="15.75" customHeight="1" x14ac:dyDescent="0.3">
      <c r="A358" s="4"/>
      <c r="B358" s="4"/>
      <c r="C358" s="4"/>
      <c r="D358" s="4"/>
    </row>
    <row r="359" spans="1:4" ht="15.75" customHeight="1" x14ac:dyDescent="0.3">
      <c r="A359" s="4"/>
      <c r="B359" s="4"/>
      <c r="C359" s="4"/>
      <c r="D359" s="4"/>
    </row>
    <row r="360" spans="1:4" ht="15.75" customHeight="1" x14ac:dyDescent="0.3">
      <c r="A360" s="4"/>
      <c r="B360" s="4"/>
      <c r="C360" s="4"/>
      <c r="D360" s="4"/>
    </row>
    <row r="361" spans="1:4" ht="15.75" customHeight="1" x14ac:dyDescent="0.3">
      <c r="A361" s="4"/>
      <c r="B361" s="4"/>
      <c r="C361" s="4"/>
      <c r="D361" s="4"/>
    </row>
    <row r="362" spans="1:4" ht="15.75" customHeight="1" x14ac:dyDescent="0.3">
      <c r="A362" s="4"/>
      <c r="B362" s="4"/>
      <c r="C362" s="4"/>
      <c r="D362" s="4"/>
    </row>
    <row r="363" spans="1:4" ht="15.75" customHeight="1" x14ac:dyDescent="0.3">
      <c r="A363" s="4"/>
      <c r="B363" s="4"/>
      <c r="C363" s="4"/>
      <c r="D363" s="4"/>
    </row>
    <row r="364" spans="1:4" ht="15.75" customHeight="1" x14ac:dyDescent="0.3">
      <c r="A364" s="4"/>
      <c r="B364" s="4"/>
      <c r="C364" s="4"/>
      <c r="D364" s="4"/>
    </row>
    <row r="365" spans="1:4" ht="15.75" customHeight="1" x14ac:dyDescent="0.3">
      <c r="A365" s="4"/>
      <c r="B365" s="4"/>
      <c r="C365" s="4"/>
      <c r="D365" s="4"/>
    </row>
    <row r="366" spans="1:4" ht="15.75" customHeight="1" x14ac:dyDescent="0.3">
      <c r="A366" s="4"/>
      <c r="B366" s="4"/>
      <c r="C366" s="4"/>
      <c r="D366" s="4"/>
    </row>
    <row r="367" spans="1:4" ht="15.75" customHeight="1" x14ac:dyDescent="0.3">
      <c r="A367" s="4"/>
      <c r="B367" s="4"/>
      <c r="C367" s="4"/>
      <c r="D367" s="4"/>
    </row>
    <row r="368" spans="1:4" ht="15.75" customHeight="1" x14ac:dyDescent="0.3">
      <c r="A368" s="4"/>
      <c r="B368" s="4"/>
      <c r="C368" s="4"/>
      <c r="D368" s="4"/>
    </row>
    <row r="369" spans="1:4" ht="15.75" customHeight="1" x14ac:dyDescent="0.3">
      <c r="A369" s="4"/>
      <c r="B369" s="4"/>
      <c r="C369" s="4"/>
      <c r="D369" s="4"/>
    </row>
    <row r="370" spans="1:4" ht="15.75" customHeight="1" x14ac:dyDescent="0.3">
      <c r="A370" s="4"/>
      <c r="B370" s="4"/>
      <c r="C370" s="4"/>
      <c r="D370" s="4"/>
    </row>
    <row r="371" spans="1:4" ht="15.75" customHeight="1" x14ac:dyDescent="0.3">
      <c r="A371" s="4"/>
      <c r="B371" s="4"/>
      <c r="C371" s="4"/>
      <c r="D371" s="4"/>
    </row>
    <row r="372" spans="1:4" ht="15.75" customHeight="1" x14ac:dyDescent="0.3">
      <c r="A372" s="4"/>
      <c r="B372" s="4"/>
      <c r="C372" s="4"/>
      <c r="D372" s="4"/>
    </row>
    <row r="373" spans="1:4" ht="15.75" customHeight="1" x14ac:dyDescent="0.3">
      <c r="A373" s="4"/>
      <c r="B373" s="4"/>
      <c r="C373" s="4"/>
      <c r="D373" s="4"/>
    </row>
    <row r="374" spans="1:4" ht="15.75" customHeight="1" x14ac:dyDescent="0.3">
      <c r="A374" s="4"/>
      <c r="B374" s="4"/>
      <c r="C374" s="4"/>
      <c r="D374" s="4"/>
    </row>
    <row r="375" spans="1:4" ht="15.75" customHeight="1" x14ac:dyDescent="0.3">
      <c r="A375" s="4"/>
      <c r="B375" s="4"/>
      <c r="C375" s="4"/>
      <c r="D375" s="4"/>
    </row>
    <row r="376" spans="1:4" ht="15.75" customHeight="1" x14ac:dyDescent="0.3">
      <c r="A376" s="4"/>
      <c r="B376" s="4"/>
      <c r="C376" s="4"/>
      <c r="D376" s="4"/>
    </row>
    <row r="377" spans="1:4" ht="15.75" customHeight="1" x14ac:dyDescent="0.3">
      <c r="A377" s="4"/>
      <c r="B377" s="4"/>
      <c r="C377" s="4"/>
      <c r="D377" s="4"/>
    </row>
    <row r="378" spans="1:4" ht="15.75" customHeight="1" x14ac:dyDescent="0.3">
      <c r="A378" s="4"/>
      <c r="B378" s="4"/>
      <c r="C378" s="4"/>
      <c r="D378" s="4"/>
    </row>
    <row r="379" spans="1:4" ht="15.75" customHeight="1" x14ac:dyDescent="0.3">
      <c r="A379" s="4"/>
      <c r="B379" s="4"/>
      <c r="C379" s="4"/>
      <c r="D379" s="4"/>
    </row>
    <row r="380" spans="1:4" ht="15.75" customHeight="1" x14ac:dyDescent="0.3">
      <c r="A380" s="4"/>
      <c r="B380" s="4"/>
      <c r="C380" s="4"/>
      <c r="D380" s="4"/>
    </row>
    <row r="381" spans="1:4" ht="15.75" customHeight="1" x14ac:dyDescent="0.3">
      <c r="A381" s="4"/>
      <c r="B381" s="4"/>
      <c r="C381" s="4"/>
      <c r="D381" s="4"/>
    </row>
    <row r="382" spans="1:4" ht="15.75" customHeight="1" x14ac:dyDescent="0.3">
      <c r="A382" s="4"/>
      <c r="B382" s="4"/>
      <c r="C382" s="4"/>
      <c r="D382" s="4"/>
    </row>
    <row r="383" spans="1:4" ht="15.75" customHeight="1" x14ac:dyDescent="0.3">
      <c r="A383" s="4"/>
      <c r="B383" s="4"/>
      <c r="C383" s="4"/>
      <c r="D383" s="4"/>
    </row>
    <row r="384" spans="1:4" ht="15.75" customHeight="1" x14ac:dyDescent="0.3">
      <c r="A384" s="4"/>
      <c r="B384" s="4"/>
      <c r="C384" s="4"/>
      <c r="D384" s="4"/>
    </row>
    <row r="385" spans="1:4" ht="15.75" customHeight="1" x14ac:dyDescent="0.3">
      <c r="A385" s="4"/>
      <c r="B385" s="4"/>
      <c r="C385" s="4"/>
      <c r="D385" s="4"/>
    </row>
    <row r="386" spans="1:4" ht="15.75" customHeight="1" x14ac:dyDescent="0.3">
      <c r="A386" s="4"/>
      <c r="B386" s="4"/>
      <c r="C386" s="4"/>
      <c r="D386" s="4"/>
    </row>
    <row r="387" spans="1:4" ht="15.75" customHeight="1" x14ac:dyDescent="0.3">
      <c r="A387" s="4"/>
      <c r="B387" s="4"/>
      <c r="C387" s="4"/>
      <c r="D387" s="4"/>
    </row>
    <row r="388" spans="1:4" ht="15.75" customHeight="1" x14ac:dyDescent="0.3">
      <c r="A388" s="4"/>
      <c r="B388" s="4"/>
      <c r="C388" s="4"/>
      <c r="D388" s="4"/>
    </row>
    <row r="389" spans="1:4" ht="15.75" customHeight="1" x14ac:dyDescent="0.3">
      <c r="A389" s="4"/>
      <c r="B389" s="4"/>
      <c r="C389" s="4"/>
      <c r="D389" s="4"/>
    </row>
    <row r="390" spans="1:4" ht="15.75" customHeight="1" x14ac:dyDescent="0.3">
      <c r="A390" s="4"/>
      <c r="B390" s="4"/>
      <c r="C390" s="4"/>
      <c r="D390" s="4"/>
    </row>
    <row r="391" spans="1:4" ht="15.75" customHeight="1" x14ac:dyDescent="0.3">
      <c r="A391" s="4"/>
      <c r="B391" s="4"/>
      <c r="C391" s="4"/>
      <c r="D391" s="4"/>
    </row>
    <row r="392" spans="1:4" ht="15.75" customHeight="1" x14ac:dyDescent="0.3">
      <c r="A392" s="4"/>
      <c r="B392" s="4"/>
      <c r="C392" s="4"/>
      <c r="D392" s="4"/>
    </row>
    <row r="393" spans="1:4" ht="15.75" customHeight="1" x14ac:dyDescent="0.3">
      <c r="A393" s="4"/>
      <c r="B393" s="4"/>
      <c r="C393" s="4"/>
      <c r="D393" s="4"/>
    </row>
    <row r="394" spans="1:4" ht="15.75" customHeight="1" x14ac:dyDescent="0.3">
      <c r="A394" s="4"/>
      <c r="B394" s="4"/>
      <c r="C394" s="4"/>
      <c r="D394" s="4"/>
    </row>
    <row r="395" spans="1:4" ht="15.75" customHeight="1" x14ac:dyDescent="0.3">
      <c r="A395" s="4"/>
      <c r="B395" s="4"/>
      <c r="C395" s="4"/>
      <c r="D395" s="4"/>
    </row>
    <row r="396" spans="1:4" ht="15.75" customHeight="1" x14ac:dyDescent="0.3">
      <c r="A396" s="4"/>
      <c r="B396" s="4"/>
      <c r="C396" s="4"/>
      <c r="D396" s="4"/>
    </row>
    <row r="397" spans="1:4" ht="15.75" customHeight="1" x14ac:dyDescent="0.3">
      <c r="A397" s="4"/>
      <c r="B397" s="4"/>
      <c r="C397" s="4"/>
      <c r="D397" s="4"/>
    </row>
    <row r="398" spans="1:4" ht="15.75" customHeight="1" x14ac:dyDescent="0.3">
      <c r="A398" s="4"/>
      <c r="B398" s="4"/>
      <c r="C398" s="4"/>
      <c r="D398" s="4"/>
    </row>
    <row r="399" spans="1:4" ht="15.75" customHeight="1" x14ac:dyDescent="0.3">
      <c r="A399" s="4"/>
      <c r="B399" s="4"/>
      <c r="C399" s="4"/>
      <c r="D399" s="4"/>
    </row>
    <row r="400" spans="1:4" ht="15.75" customHeight="1" x14ac:dyDescent="0.3">
      <c r="A400" s="4"/>
      <c r="B400" s="4"/>
      <c r="C400" s="4"/>
      <c r="D400" s="4"/>
    </row>
    <row r="401" spans="1:4" ht="15.75" customHeight="1" x14ac:dyDescent="0.3">
      <c r="A401" s="4"/>
      <c r="B401" s="4"/>
      <c r="C401" s="4"/>
      <c r="D401" s="4"/>
    </row>
    <row r="402" spans="1:4" ht="15.75" customHeight="1" x14ac:dyDescent="0.3">
      <c r="A402" s="4"/>
      <c r="B402" s="4"/>
      <c r="C402" s="4"/>
      <c r="D402" s="4"/>
    </row>
    <row r="403" spans="1:4" ht="15.75" customHeight="1" x14ac:dyDescent="0.3">
      <c r="A403" s="4"/>
      <c r="B403" s="4"/>
      <c r="C403" s="4"/>
      <c r="D403" s="4"/>
    </row>
    <row r="404" spans="1:4" ht="15.75" customHeight="1" x14ac:dyDescent="0.3">
      <c r="A404" s="4"/>
      <c r="B404" s="4"/>
      <c r="C404" s="4"/>
      <c r="D404" s="4"/>
    </row>
    <row r="405" spans="1:4" ht="15.75" customHeight="1" x14ac:dyDescent="0.3">
      <c r="A405" s="4"/>
      <c r="B405" s="4"/>
      <c r="C405" s="4"/>
      <c r="D405" s="4"/>
    </row>
    <row r="406" spans="1:4" ht="15.75" customHeight="1" x14ac:dyDescent="0.3">
      <c r="A406" s="4"/>
      <c r="B406" s="4"/>
      <c r="C406" s="4"/>
      <c r="D406" s="4"/>
    </row>
    <row r="407" spans="1:4" ht="15.75" customHeight="1" x14ac:dyDescent="0.3">
      <c r="A407" s="4"/>
      <c r="B407" s="4"/>
      <c r="C407" s="4"/>
      <c r="D407" s="4"/>
    </row>
    <row r="408" spans="1:4" ht="15.75" customHeight="1" x14ac:dyDescent="0.3">
      <c r="A408" s="4"/>
      <c r="B408" s="4"/>
      <c r="C408" s="4"/>
      <c r="D408" s="4"/>
    </row>
    <row r="409" spans="1:4" ht="15.75" customHeight="1" x14ac:dyDescent="0.3">
      <c r="A409" s="4"/>
      <c r="B409" s="4"/>
      <c r="C409" s="4"/>
      <c r="D409" s="4"/>
    </row>
    <row r="410" spans="1:4" ht="15.75" customHeight="1" x14ac:dyDescent="0.3">
      <c r="A410" s="4"/>
      <c r="B410" s="4"/>
      <c r="C410" s="4"/>
      <c r="D410" s="4"/>
    </row>
    <row r="411" spans="1:4" ht="15.75" customHeight="1" x14ac:dyDescent="0.3">
      <c r="A411" s="4"/>
      <c r="B411" s="4"/>
      <c r="C411" s="4"/>
      <c r="D411" s="4"/>
    </row>
    <row r="412" spans="1:4" ht="15.75" customHeight="1" x14ac:dyDescent="0.3">
      <c r="A412" s="4"/>
      <c r="B412" s="4"/>
      <c r="C412" s="4"/>
      <c r="D412" s="4"/>
    </row>
    <row r="413" spans="1:4" ht="15.75" customHeight="1" x14ac:dyDescent="0.3">
      <c r="A413" s="4"/>
      <c r="B413" s="4"/>
      <c r="C413" s="4"/>
      <c r="D413" s="4"/>
    </row>
    <row r="414" spans="1:4" ht="15.75" customHeight="1" x14ac:dyDescent="0.3">
      <c r="A414" s="4"/>
      <c r="B414" s="4"/>
      <c r="C414" s="4"/>
      <c r="D414" s="4"/>
    </row>
    <row r="415" spans="1:4" ht="15.75" customHeight="1" x14ac:dyDescent="0.3">
      <c r="A415" s="4"/>
      <c r="B415" s="4"/>
      <c r="C415" s="4"/>
      <c r="D415" s="4"/>
    </row>
    <row r="416" spans="1:4" ht="15.75" customHeight="1" x14ac:dyDescent="0.3">
      <c r="A416" s="4"/>
      <c r="B416" s="4"/>
      <c r="C416" s="4"/>
      <c r="D416" s="4"/>
    </row>
    <row r="417" spans="1:4" ht="15.75" customHeight="1" x14ac:dyDescent="0.3">
      <c r="A417" s="4"/>
      <c r="B417" s="4"/>
      <c r="C417" s="4"/>
      <c r="D417" s="4"/>
    </row>
    <row r="418" spans="1:4" ht="15.75" customHeight="1" x14ac:dyDescent="0.3">
      <c r="A418" s="4"/>
      <c r="B418" s="4"/>
      <c r="C418" s="4"/>
      <c r="D418" s="4"/>
    </row>
    <row r="419" spans="1:4" ht="15.75" customHeight="1" x14ac:dyDescent="0.3">
      <c r="A419" s="4"/>
      <c r="B419" s="4"/>
      <c r="C419" s="4"/>
      <c r="D419" s="4"/>
    </row>
    <row r="420" spans="1:4" ht="15.75" customHeight="1" x14ac:dyDescent="0.3">
      <c r="A420" s="4"/>
      <c r="B420" s="4"/>
      <c r="C420" s="4"/>
      <c r="D420" s="4"/>
    </row>
    <row r="421" spans="1:4" ht="15.75" customHeight="1" x14ac:dyDescent="0.3">
      <c r="A421" s="4"/>
      <c r="B421" s="4"/>
      <c r="C421" s="4"/>
      <c r="D421" s="4"/>
    </row>
    <row r="422" spans="1:4" ht="15.75" customHeight="1" x14ac:dyDescent="0.3">
      <c r="A422" s="4"/>
      <c r="B422" s="4"/>
      <c r="C422" s="4"/>
      <c r="D422" s="4"/>
    </row>
    <row r="423" spans="1:4" ht="15.75" customHeight="1" x14ac:dyDescent="0.3">
      <c r="A423" s="4"/>
      <c r="B423" s="4"/>
      <c r="C423" s="4"/>
      <c r="D423" s="4"/>
    </row>
    <row r="424" spans="1:4" ht="15.75" customHeight="1" x14ac:dyDescent="0.3">
      <c r="A424" s="4"/>
      <c r="B424" s="4"/>
      <c r="C424" s="4"/>
      <c r="D424" s="4"/>
    </row>
    <row r="425" spans="1:4" ht="15.75" customHeight="1" x14ac:dyDescent="0.3">
      <c r="A425" s="4"/>
      <c r="B425" s="4"/>
      <c r="C425" s="4"/>
      <c r="D425" s="4"/>
    </row>
    <row r="426" spans="1:4" ht="15.75" customHeight="1" x14ac:dyDescent="0.3">
      <c r="A426" s="4"/>
      <c r="B426" s="4"/>
      <c r="C426" s="4"/>
      <c r="D426" s="4"/>
    </row>
    <row r="427" spans="1:4" ht="15.75" customHeight="1" x14ac:dyDescent="0.3">
      <c r="A427" s="4"/>
      <c r="B427" s="4"/>
      <c r="C427" s="4"/>
      <c r="D427" s="4"/>
    </row>
    <row r="428" spans="1:4" ht="15.75" customHeight="1" x14ac:dyDescent="0.3">
      <c r="A428" s="4"/>
      <c r="B428" s="4"/>
      <c r="C428" s="4"/>
      <c r="D428" s="4"/>
    </row>
    <row r="429" spans="1:4" ht="15.75" customHeight="1" x14ac:dyDescent="0.3">
      <c r="A429" s="4"/>
      <c r="B429" s="4"/>
      <c r="C429" s="4"/>
      <c r="D429" s="4"/>
    </row>
    <row r="430" spans="1:4" ht="15.75" customHeight="1" x14ac:dyDescent="0.3">
      <c r="A430" s="4"/>
      <c r="B430" s="4"/>
      <c r="C430" s="4"/>
      <c r="D430" s="4"/>
    </row>
    <row r="431" spans="1:4" ht="15.75" customHeight="1" x14ac:dyDescent="0.3">
      <c r="A431" s="4"/>
      <c r="B431" s="4"/>
      <c r="C431" s="4"/>
      <c r="D431" s="4"/>
    </row>
    <row r="432" spans="1:4" ht="15.75" customHeight="1" x14ac:dyDescent="0.3">
      <c r="A432" s="4"/>
      <c r="B432" s="4"/>
      <c r="C432" s="4"/>
      <c r="D432" s="4"/>
    </row>
    <row r="433" spans="1:4" ht="15.75" customHeight="1" x14ac:dyDescent="0.3">
      <c r="A433" s="4"/>
      <c r="B433" s="4"/>
      <c r="C433" s="4"/>
      <c r="D433" s="4"/>
    </row>
    <row r="434" spans="1:4" ht="15.75" customHeight="1" x14ac:dyDescent="0.3">
      <c r="A434" s="4"/>
      <c r="B434" s="4"/>
      <c r="C434" s="4"/>
      <c r="D434" s="4"/>
    </row>
    <row r="435" spans="1:4" ht="15.75" customHeight="1" x14ac:dyDescent="0.3">
      <c r="A435" s="4"/>
      <c r="B435" s="4"/>
      <c r="C435" s="4"/>
      <c r="D435" s="4"/>
    </row>
    <row r="436" spans="1:4" ht="15.75" customHeight="1" x14ac:dyDescent="0.3">
      <c r="A436" s="4"/>
      <c r="B436" s="4"/>
      <c r="C436" s="4"/>
      <c r="D436" s="4"/>
    </row>
    <row r="437" spans="1:4" ht="15.75" customHeight="1" x14ac:dyDescent="0.3">
      <c r="A437" s="4"/>
      <c r="B437" s="4"/>
      <c r="C437" s="4"/>
      <c r="D437" s="4"/>
    </row>
    <row r="438" spans="1:4" ht="15.75" customHeight="1" x14ac:dyDescent="0.3">
      <c r="A438" s="4"/>
      <c r="B438" s="4"/>
      <c r="C438" s="4"/>
      <c r="D438" s="4"/>
    </row>
    <row r="439" spans="1:4" ht="15.75" customHeight="1" x14ac:dyDescent="0.3">
      <c r="A439" s="4"/>
      <c r="B439" s="4"/>
      <c r="C439" s="4"/>
      <c r="D439" s="4"/>
    </row>
    <row r="440" spans="1:4" ht="15.75" customHeight="1" x14ac:dyDescent="0.3">
      <c r="A440" s="4"/>
      <c r="B440" s="4"/>
      <c r="C440" s="4"/>
      <c r="D440" s="4"/>
    </row>
    <row r="441" spans="1:4" ht="15.75" customHeight="1" x14ac:dyDescent="0.3">
      <c r="A441" s="4"/>
      <c r="B441" s="4"/>
      <c r="C441" s="4"/>
      <c r="D441" s="4"/>
    </row>
    <row r="442" spans="1:4" ht="15.75" customHeight="1" x14ac:dyDescent="0.3">
      <c r="A442" s="4"/>
      <c r="B442" s="4"/>
      <c r="C442" s="4"/>
      <c r="D442" s="4"/>
    </row>
    <row r="443" spans="1:4" ht="15.75" customHeight="1" x14ac:dyDescent="0.3">
      <c r="A443" s="4"/>
      <c r="B443" s="4"/>
      <c r="C443" s="4"/>
      <c r="D443" s="4"/>
    </row>
    <row r="444" spans="1:4" ht="15.75" customHeight="1" x14ac:dyDescent="0.3">
      <c r="A444" s="4"/>
      <c r="B444" s="4"/>
      <c r="C444" s="4"/>
      <c r="D444" s="4"/>
    </row>
    <row r="445" spans="1:4" ht="15.75" customHeight="1" x14ac:dyDescent="0.3">
      <c r="A445" s="4"/>
      <c r="B445" s="4"/>
      <c r="C445" s="4"/>
      <c r="D445" s="4"/>
    </row>
    <row r="446" spans="1:4" ht="15.75" customHeight="1" x14ac:dyDescent="0.3">
      <c r="A446" s="4"/>
      <c r="B446" s="4"/>
      <c r="C446" s="4"/>
      <c r="D446" s="4"/>
    </row>
    <row r="447" spans="1:4" ht="15.75" customHeight="1" x14ac:dyDescent="0.3">
      <c r="A447" s="4"/>
      <c r="B447" s="4"/>
      <c r="C447" s="4"/>
      <c r="D447" s="4"/>
    </row>
    <row r="448" spans="1:4" ht="15.75" customHeight="1" x14ac:dyDescent="0.3">
      <c r="A448" s="4"/>
      <c r="B448" s="4"/>
      <c r="C448" s="4"/>
      <c r="D448" s="4"/>
    </row>
    <row r="449" spans="1:4" ht="15.75" customHeight="1" x14ac:dyDescent="0.3">
      <c r="A449" s="4"/>
      <c r="B449" s="4"/>
      <c r="C449" s="4"/>
      <c r="D449" s="4"/>
    </row>
    <row r="450" spans="1:4" ht="15.75" customHeight="1" x14ac:dyDescent="0.3">
      <c r="A450" s="4"/>
      <c r="B450" s="4"/>
      <c r="C450" s="4"/>
      <c r="D450" s="4"/>
    </row>
    <row r="451" spans="1:4" ht="15.75" customHeight="1" x14ac:dyDescent="0.3">
      <c r="A451" s="4"/>
      <c r="B451" s="4"/>
      <c r="C451" s="4"/>
      <c r="D451" s="4"/>
    </row>
    <row r="452" spans="1:4" ht="15.75" customHeight="1" x14ac:dyDescent="0.3">
      <c r="A452" s="4"/>
      <c r="B452" s="4"/>
      <c r="C452" s="4"/>
      <c r="D452" s="4"/>
    </row>
    <row r="453" spans="1:4" ht="15.75" customHeight="1" x14ac:dyDescent="0.3">
      <c r="A453" s="4"/>
      <c r="B453" s="4"/>
      <c r="C453" s="4"/>
      <c r="D453" s="4"/>
    </row>
    <row r="454" spans="1:4" ht="15.75" customHeight="1" x14ac:dyDescent="0.3">
      <c r="A454" s="4"/>
      <c r="B454" s="4"/>
      <c r="C454" s="4"/>
      <c r="D454" s="4"/>
    </row>
    <row r="455" spans="1:4" ht="15.75" customHeight="1" x14ac:dyDescent="0.3">
      <c r="A455" s="4"/>
      <c r="B455" s="4"/>
      <c r="C455" s="4"/>
      <c r="D455" s="4"/>
    </row>
    <row r="456" spans="1:4" ht="15.75" customHeight="1" x14ac:dyDescent="0.3">
      <c r="A456" s="4"/>
      <c r="B456" s="4"/>
      <c r="C456" s="4"/>
      <c r="D456" s="4"/>
    </row>
    <row r="457" spans="1:4" ht="15.75" customHeight="1" x14ac:dyDescent="0.3">
      <c r="A457" s="4"/>
      <c r="B457" s="4"/>
      <c r="C457" s="4"/>
      <c r="D457" s="4"/>
    </row>
    <row r="458" spans="1:4" ht="15.75" customHeight="1" x14ac:dyDescent="0.3">
      <c r="A458" s="4"/>
      <c r="B458" s="4"/>
      <c r="C458" s="4"/>
      <c r="D458" s="4"/>
    </row>
    <row r="459" spans="1:4" ht="15.75" customHeight="1" x14ac:dyDescent="0.3">
      <c r="A459" s="4"/>
      <c r="B459" s="4"/>
      <c r="C459" s="4"/>
      <c r="D459" s="4"/>
    </row>
    <row r="460" spans="1:4" ht="15.75" customHeight="1" x14ac:dyDescent="0.3">
      <c r="A460" s="4"/>
      <c r="B460" s="4"/>
      <c r="C460" s="4"/>
      <c r="D460" s="4"/>
    </row>
    <row r="461" spans="1:4" ht="15.75" customHeight="1" x14ac:dyDescent="0.3">
      <c r="A461" s="4"/>
      <c r="B461" s="4"/>
      <c r="C461" s="4"/>
      <c r="D461" s="4"/>
    </row>
    <row r="462" spans="1:4" ht="15.75" customHeight="1" x14ac:dyDescent="0.3">
      <c r="A462" s="4"/>
      <c r="B462" s="4"/>
      <c r="C462" s="4"/>
      <c r="D462" s="4"/>
    </row>
    <row r="463" spans="1:4" ht="15.75" customHeight="1" x14ac:dyDescent="0.3">
      <c r="A463" s="4"/>
      <c r="B463" s="4"/>
      <c r="C463" s="4"/>
      <c r="D463" s="4"/>
    </row>
    <row r="464" spans="1:4" ht="15.75" customHeight="1" x14ac:dyDescent="0.3">
      <c r="A464" s="4"/>
      <c r="B464" s="4"/>
      <c r="C464" s="4"/>
      <c r="D464" s="4"/>
    </row>
    <row r="465" spans="1:4" ht="15.75" customHeight="1" x14ac:dyDescent="0.3">
      <c r="A465" s="4"/>
      <c r="B465" s="4"/>
      <c r="C465" s="4"/>
      <c r="D465" s="4"/>
    </row>
    <row r="466" spans="1:4" ht="15.75" customHeight="1" x14ac:dyDescent="0.3">
      <c r="A466" s="4"/>
      <c r="B466" s="4"/>
      <c r="C466" s="4"/>
      <c r="D466" s="4"/>
    </row>
    <row r="467" spans="1:4" ht="15.75" customHeight="1" x14ac:dyDescent="0.3">
      <c r="A467" s="4"/>
      <c r="B467" s="4"/>
      <c r="C467" s="4"/>
      <c r="D467" s="4"/>
    </row>
    <row r="468" spans="1:4" ht="15.75" customHeight="1" x14ac:dyDescent="0.3">
      <c r="A468" s="4"/>
      <c r="B468" s="4"/>
      <c r="C468" s="4"/>
      <c r="D468" s="4"/>
    </row>
    <row r="469" spans="1:4" ht="15.75" customHeight="1" x14ac:dyDescent="0.3">
      <c r="A469" s="4"/>
      <c r="B469" s="4"/>
      <c r="C469" s="4"/>
      <c r="D469" s="4"/>
    </row>
    <row r="470" spans="1:4" ht="15.75" customHeight="1" x14ac:dyDescent="0.3">
      <c r="A470" s="4"/>
      <c r="B470" s="4"/>
      <c r="C470" s="4"/>
      <c r="D470" s="4"/>
    </row>
    <row r="471" spans="1:4" ht="15.75" customHeight="1" x14ac:dyDescent="0.3">
      <c r="A471" s="4"/>
      <c r="B471" s="4"/>
      <c r="C471" s="4"/>
      <c r="D471" s="4"/>
    </row>
    <row r="472" spans="1:4" ht="15.75" customHeight="1" x14ac:dyDescent="0.3">
      <c r="A472" s="4"/>
      <c r="B472" s="4"/>
      <c r="C472" s="4"/>
      <c r="D472" s="4"/>
    </row>
    <row r="473" spans="1:4" ht="15.75" customHeight="1" x14ac:dyDescent="0.3">
      <c r="A473" s="4"/>
      <c r="B473" s="4"/>
      <c r="C473" s="4"/>
      <c r="D473" s="4"/>
    </row>
    <row r="474" spans="1:4" ht="15.75" customHeight="1" x14ac:dyDescent="0.3">
      <c r="A474" s="4"/>
      <c r="B474" s="4"/>
      <c r="C474" s="4"/>
      <c r="D474" s="4"/>
    </row>
    <row r="475" spans="1:4" ht="15.75" customHeight="1" x14ac:dyDescent="0.3">
      <c r="A475" s="4"/>
      <c r="B475" s="4"/>
      <c r="C475" s="4"/>
      <c r="D475" s="4"/>
    </row>
    <row r="476" spans="1:4" ht="15.75" customHeight="1" x14ac:dyDescent="0.3">
      <c r="A476" s="4"/>
      <c r="B476" s="4"/>
      <c r="C476" s="4"/>
      <c r="D476" s="4"/>
    </row>
    <row r="477" spans="1:4" ht="15.75" customHeight="1" x14ac:dyDescent="0.3">
      <c r="A477" s="4"/>
      <c r="B477" s="4"/>
      <c r="C477" s="4"/>
      <c r="D477" s="4"/>
    </row>
    <row r="478" spans="1:4" ht="15.75" customHeight="1" x14ac:dyDescent="0.3">
      <c r="A478" s="4"/>
      <c r="B478" s="4"/>
      <c r="C478" s="4"/>
      <c r="D478" s="4"/>
    </row>
    <row r="479" spans="1:4" ht="15.75" customHeight="1" x14ac:dyDescent="0.3">
      <c r="A479" s="4"/>
      <c r="B479" s="4"/>
      <c r="C479" s="4"/>
      <c r="D479" s="4"/>
    </row>
    <row r="480" spans="1:4" ht="15.75" customHeight="1" x14ac:dyDescent="0.3">
      <c r="A480" s="4"/>
      <c r="B480" s="4"/>
      <c r="C480" s="4"/>
      <c r="D480" s="4"/>
    </row>
    <row r="481" spans="1:4" ht="15.75" customHeight="1" x14ac:dyDescent="0.3">
      <c r="A481" s="4"/>
      <c r="B481" s="4"/>
      <c r="C481" s="4"/>
      <c r="D481" s="4"/>
    </row>
    <row r="482" spans="1:4" ht="15.75" customHeight="1" x14ac:dyDescent="0.3">
      <c r="A482" s="4"/>
      <c r="B482" s="4"/>
      <c r="C482" s="4"/>
      <c r="D482" s="4"/>
    </row>
    <row r="483" spans="1:4" ht="15.75" customHeight="1" x14ac:dyDescent="0.3">
      <c r="A483" s="4"/>
      <c r="B483" s="4"/>
      <c r="C483" s="4"/>
      <c r="D483" s="4"/>
    </row>
    <row r="484" spans="1:4" ht="15.75" customHeight="1" x14ac:dyDescent="0.3">
      <c r="A484" s="4"/>
      <c r="B484" s="4"/>
      <c r="C484" s="4"/>
      <c r="D484" s="4"/>
    </row>
    <row r="485" spans="1:4" ht="15.75" customHeight="1" x14ac:dyDescent="0.3">
      <c r="A485" s="4"/>
      <c r="B485" s="4"/>
      <c r="C485" s="4"/>
      <c r="D485" s="4"/>
    </row>
    <row r="486" spans="1:4" ht="15.75" customHeight="1" x14ac:dyDescent="0.3">
      <c r="A486" s="4"/>
      <c r="B486" s="4"/>
      <c r="C486" s="4"/>
      <c r="D486" s="4"/>
    </row>
    <row r="487" spans="1:4" ht="15.75" customHeight="1" x14ac:dyDescent="0.3">
      <c r="A487" s="4"/>
      <c r="B487" s="4"/>
      <c r="C487" s="4"/>
      <c r="D487" s="4"/>
    </row>
    <row r="488" spans="1:4" ht="15.75" customHeight="1" x14ac:dyDescent="0.3">
      <c r="A488" s="4"/>
      <c r="B488" s="4"/>
      <c r="C488" s="4"/>
      <c r="D488" s="4"/>
    </row>
    <row r="489" spans="1:4" ht="15.75" customHeight="1" x14ac:dyDescent="0.3">
      <c r="A489" s="4"/>
      <c r="B489" s="4"/>
      <c r="C489" s="4"/>
      <c r="D489" s="4"/>
    </row>
    <row r="490" spans="1:4" ht="15.75" customHeight="1" x14ac:dyDescent="0.3">
      <c r="A490" s="4"/>
      <c r="B490" s="4"/>
      <c r="C490" s="4"/>
      <c r="D490" s="4"/>
    </row>
    <row r="491" spans="1:4" ht="15.75" customHeight="1" x14ac:dyDescent="0.3">
      <c r="A491" s="4"/>
      <c r="B491" s="4"/>
      <c r="C491" s="4"/>
      <c r="D491" s="4"/>
    </row>
    <row r="492" spans="1:4" ht="15.75" customHeight="1" x14ac:dyDescent="0.3">
      <c r="A492" s="4"/>
      <c r="B492" s="4"/>
      <c r="C492" s="4"/>
      <c r="D492" s="4"/>
    </row>
    <row r="493" spans="1:4" ht="15.75" customHeight="1" x14ac:dyDescent="0.3">
      <c r="A493" s="4"/>
      <c r="B493" s="4"/>
      <c r="C493" s="4"/>
      <c r="D493" s="4"/>
    </row>
    <row r="494" spans="1:4" ht="15.75" customHeight="1" x14ac:dyDescent="0.3">
      <c r="A494" s="4"/>
      <c r="B494" s="4"/>
      <c r="C494" s="4"/>
      <c r="D494" s="4"/>
    </row>
    <row r="495" spans="1:4" ht="15.75" customHeight="1" x14ac:dyDescent="0.3">
      <c r="A495" s="4"/>
      <c r="B495" s="4"/>
      <c r="C495" s="4"/>
      <c r="D495" s="4"/>
    </row>
    <row r="496" spans="1:4" ht="15.75" customHeight="1" x14ac:dyDescent="0.3">
      <c r="A496" s="4"/>
      <c r="B496" s="4"/>
      <c r="C496" s="4"/>
      <c r="D496" s="4"/>
    </row>
    <row r="497" spans="1:4" ht="15.75" customHeight="1" x14ac:dyDescent="0.3">
      <c r="A497" s="4"/>
      <c r="B497" s="4"/>
      <c r="C497" s="4"/>
      <c r="D497" s="4"/>
    </row>
    <row r="498" spans="1:4" ht="15.75" customHeight="1" x14ac:dyDescent="0.3">
      <c r="A498" s="4"/>
      <c r="B498" s="4"/>
      <c r="C498" s="4"/>
      <c r="D498" s="4"/>
    </row>
    <row r="499" spans="1:4" ht="15.75" customHeight="1" x14ac:dyDescent="0.3">
      <c r="A499" s="4"/>
      <c r="B499" s="4"/>
      <c r="C499" s="4"/>
      <c r="D499" s="4"/>
    </row>
    <row r="500" spans="1:4" ht="15.75" customHeight="1" x14ac:dyDescent="0.3">
      <c r="A500" s="4"/>
      <c r="B500" s="4"/>
      <c r="C500" s="4"/>
      <c r="D500" s="4"/>
    </row>
    <row r="501" spans="1:4" ht="15.75" customHeight="1" x14ac:dyDescent="0.3">
      <c r="A501" s="4"/>
      <c r="B501" s="4"/>
      <c r="C501" s="4"/>
      <c r="D501" s="4"/>
    </row>
    <row r="502" spans="1:4" ht="15.75" customHeight="1" x14ac:dyDescent="0.3">
      <c r="A502" s="4"/>
      <c r="B502" s="4"/>
      <c r="C502" s="4"/>
      <c r="D502" s="4"/>
    </row>
    <row r="503" spans="1:4" ht="15.75" customHeight="1" x14ac:dyDescent="0.3">
      <c r="A503" s="4"/>
      <c r="B503" s="4"/>
      <c r="C503" s="4"/>
      <c r="D503" s="4"/>
    </row>
    <row r="504" spans="1:4" ht="15.75" customHeight="1" x14ac:dyDescent="0.3">
      <c r="A504" s="4"/>
      <c r="B504" s="4"/>
      <c r="C504" s="4"/>
      <c r="D504" s="4"/>
    </row>
    <row r="505" spans="1:4" ht="15.75" customHeight="1" x14ac:dyDescent="0.3">
      <c r="A505" s="4"/>
      <c r="B505" s="4"/>
      <c r="C505" s="4"/>
      <c r="D505" s="4"/>
    </row>
    <row r="506" spans="1:4" ht="15.75" customHeight="1" x14ac:dyDescent="0.3">
      <c r="A506" s="4"/>
      <c r="B506" s="4"/>
      <c r="C506" s="4"/>
      <c r="D506" s="4"/>
    </row>
    <row r="507" spans="1:4" ht="15.75" customHeight="1" x14ac:dyDescent="0.3">
      <c r="A507" s="4"/>
      <c r="B507" s="4"/>
      <c r="C507" s="4"/>
      <c r="D507" s="4"/>
    </row>
    <row r="508" spans="1:4" ht="15.75" customHeight="1" x14ac:dyDescent="0.3">
      <c r="A508" s="4"/>
      <c r="B508" s="4"/>
      <c r="C508" s="4"/>
      <c r="D508" s="4"/>
    </row>
    <row r="509" spans="1:4" ht="15.75" customHeight="1" x14ac:dyDescent="0.3">
      <c r="A509" s="4"/>
      <c r="B509" s="4"/>
      <c r="C509" s="4"/>
      <c r="D509" s="4"/>
    </row>
    <row r="510" spans="1:4" ht="15.75" customHeight="1" x14ac:dyDescent="0.3">
      <c r="A510" s="4"/>
      <c r="B510" s="4"/>
      <c r="C510" s="4"/>
      <c r="D510" s="4"/>
    </row>
    <row r="511" spans="1:4" ht="15.75" customHeight="1" x14ac:dyDescent="0.3">
      <c r="A511" s="4"/>
      <c r="B511" s="4"/>
      <c r="C511" s="4"/>
      <c r="D511" s="4"/>
    </row>
    <row r="512" spans="1:4" ht="15.75" customHeight="1" x14ac:dyDescent="0.3">
      <c r="A512" s="4"/>
      <c r="B512" s="4"/>
      <c r="C512" s="4"/>
      <c r="D512" s="4"/>
    </row>
    <row r="513" spans="1:4" ht="15.75" customHeight="1" x14ac:dyDescent="0.3">
      <c r="A513" s="4"/>
      <c r="B513" s="4"/>
      <c r="C513" s="4"/>
      <c r="D513" s="4"/>
    </row>
    <row r="514" spans="1:4" ht="15.75" customHeight="1" x14ac:dyDescent="0.3">
      <c r="A514" s="4"/>
      <c r="B514" s="4"/>
      <c r="C514" s="4"/>
      <c r="D514" s="4"/>
    </row>
    <row r="515" spans="1:4" ht="15.75" customHeight="1" x14ac:dyDescent="0.3">
      <c r="A515" s="4"/>
      <c r="B515" s="4"/>
      <c r="C515" s="4"/>
      <c r="D515" s="4"/>
    </row>
    <row r="516" spans="1:4" ht="15.75" customHeight="1" x14ac:dyDescent="0.3">
      <c r="A516" s="4"/>
      <c r="B516" s="4"/>
      <c r="C516" s="4"/>
      <c r="D516" s="4"/>
    </row>
    <row r="517" spans="1:4" ht="15.75" customHeight="1" x14ac:dyDescent="0.3">
      <c r="A517" s="4"/>
      <c r="B517" s="4"/>
      <c r="C517" s="4"/>
      <c r="D517" s="4"/>
    </row>
    <row r="518" spans="1:4" ht="15.75" customHeight="1" x14ac:dyDescent="0.3">
      <c r="A518" s="4"/>
      <c r="B518" s="4"/>
      <c r="C518" s="4"/>
      <c r="D518" s="4"/>
    </row>
    <row r="519" spans="1:4" ht="15.75" customHeight="1" x14ac:dyDescent="0.3">
      <c r="A519" s="4"/>
      <c r="B519" s="4"/>
      <c r="C519" s="4"/>
      <c r="D519" s="4"/>
    </row>
    <row r="520" spans="1:4" ht="15.75" customHeight="1" x14ac:dyDescent="0.3">
      <c r="A520" s="4"/>
      <c r="B520" s="4"/>
      <c r="C520" s="4"/>
      <c r="D520" s="4"/>
    </row>
    <row r="521" spans="1:4" ht="15.75" customHeight="1" x14ac:dyDescent="0.3">
      <c r="A521" s="4"/>
      <c r="B521" s="4"/>
      <c r="C521" s="4"/>
      <c r="D521" s="4"/>
    </row>
    <row r="522" spans="1:4" ht="15.75" customHeight="1" x14ac:dyDescent="0.3">
      <c r="A522" s="4"/>
      <c r="B522" s="4"/>
      <c r="C522" s="4"/>
      <c r="D522" s="4"/>
    </row>
    <row r="523" spans="1:4" ht="15.75" customHeight="1" x14ac:dyDescent="0.3">
      <c r="A523" s="4"/>
      <c r="B523" s="4"/>
      <c r="C523" s="4"/>
      <c r="D523" s="4"/>
    </row>
    <row r="524" spans="1:4" ht="15.75" customHeight="1" x14ac:dyDescent="0.3">
      <c r="A524" s="4"/>
      <c r="B524" s="4"/>
      <c r="C524" s="4"/>
      <c r="D524" s="4"/>
    </row>
    <row r="525" spans="1:4" ht="15.75" customHeight="1" x14ac:dyDescent="0.3">
      <c r="A525" s="4"/>
      <c r="B525" s="4"/>
      <c r="C525" s="4"/>
      <c r="D525" s="4"/>
    </row>
    <row r="526" spans="1:4" ht="15.75" customHeight="1" x14ac:dyDescent="0.3">
      <c r="A526" s="4"/>
      <c r="B526" s="4"/>
      <c r="C526" s="4"/>
      <c r="D526" s="4"/>
    </row>
    <row r="527" spans="1:4" ht="15.75" customHeight="1" x14ac:dyDescent="0.3">
      <c r="A527" s="4"/>
      <c r="B527" s="4"/>
      <c r="C527" s="4"/>
      <c r="D527" s="4"/>
    </row>
    <row r="528" spans="1:4" ht="15.75" customHeight="1" x14ac:dyDescent="0.3">
      <c r="A528" s="4"/>
      <c r="B528" s="4"/>
      <c r="C528" s="4"/>
      <c r="D528" s="4"/>
    </row>
    <row r="529" spans="1:4" ht="15.75" customHeight="1" x14ac:dyDescent="0.3">
      <c r="A529" s="4"/>
      <c r="B529" s="4"/>
      <c r="C529" s="4"/>
      <c r="D529" s="4"/>
    </row>
    <row r="530" spans="1:4" ht="15.75" customHeight="1" x14ac:dyDescent="0.3">
      <c r="A530" s="4"/>
      <c r="B530" s="4"/>
      <c r="C530" s="4"/>
      <c r="D530" s="4"/>
    </row>
    <row r="531" spans="1:4" ht="15.75" customHeight="1" x14ac:dyDescent="0.3">
      <c r="A531" s="4"/>
      <c r="B531" s="4"/>
      <c r="C531" s="4"/>
      <c r="D531" s="4"/>
    </row>
    <row r="532" spans="1:4" ht="15.75" customHeight="1" x14ac:dyDescent="0.3">
      <c r="A532" s="4"/>
      <c r="B532" s="4"/>
      <c r="C532" s="4"/>
      <c r="D532" s="4"/>
    </row>
    <row r="533" spans="1:4" ht="15.75" customHeight="1" x14ac:dyDescent="0.3">
      <c r="A533" s="4"/>
      <c r="B533" s="4"/>
      <c r="C533" s="4"/>
      <c r="D533" s="4"/>
    </row>
    <row r="534" spans="1:4" ht="15.75" customHeight="1" x14ac:dyDescent="0.3">
      <c r="A534" s="4"/>
      <c r="B534" s="4"/>
      <c r="C534" s="4"/>
      <c r="D534" s="4"/>
    </row>
    <row r="535" spans="1:4" ht="15.75" customHeight="1" x14ac:dyDescent="0.3">
      <c r="A535" s="4"/>
      <c r="B535" s="4"/>
      <c r="C535" s="4"/>
      <c r="D535" s="4"/>
    </row>
    <row r="536" spans="1:4" ht="15.75" customHeight="1" x14ac:dyDescent="0.3">
      <c r="A536" s="4"/>
      <c r="B536" s="4"/>
      <c r="C536" s="4"/>
      <c r="D536" s="4"/>
    </row>
    <row r="537" spans="1:4" ht="15.75" customHeight="1" x14ac:dyDescent="0.3">
      <c r="A537" s="4"/>
      <c r="B537" s="4"/>
      <c r="C537" s="4"/>
      <c r="D537" s="4"/>
    </row>
    <row r="538" spans="1:4" ht="15.75" customHeight="1" x14ac:dyDescent="0.3">
      <c r="A538" s="4"/>
      <c r="B538" s="4"/>
      <c r="C538" s="4"/>
      <c r="D538" s="4"/>
    </row>
    <row r="539" spans="1:4" ht="15.75" customHeight="1" x14ac:dyDescent="0.3">
      <c r="A539" s="4"/>
      <c r="B539" s="4"/>
      <c r="C539" s="4"/>
      <c r="D539" s="4"/>
    </row>
    <row r="540" spans="1:4" ht="15.75" customHeight="1" x14ac:dyDescent="0.3">
      <c r="A540" s="4"/>
      <c r="B540" s="4"/>
      <c r="C540" s="4"/>
      <c r="D540" s="4"/>
    </row>
    <row r="541" spans="1:4" ht="15.75" customHeight="1" x14ac:dyDescent="0.3">
      <c r="A541" s="4"/>
      <c r="B541" s="4"/>
      <c r="C541" s="4"/>
      <c r="D541" s="4"/>
    </row>
    <row r="542" spans="1:4" ht="15.75" customHeight="1" x14ac:dyDescent="0.3">
      <c r="A542" s="4"/>
      <c r="B542" s="4"/>
      <c r="C542" s="4"/>
      <c r="D542" s="4"/>
    </row>
    <row r="543" spans="1:4" ht="15.75" customHeight="1" x14ac:dyDescent="0.3">
      <c r="A543" s="4"/>
      <c r="B543" s="4"/>
      <c r="C543" s="4"/>
      <c r="D543" s="4"/>
    </row>
    <row r="544" spans="1:4" ht="15.75" customHeight="1" x14ac:dyDescent="0.3">
      <c r="A544" s="4"/>
      <c r="B544" s="4"/>
      <c r="C544" s="4"/>
      <c r="D544" s="4"/>
    </row>
    <row r="545" spans="1:4" ht="15.75" customHeight="1" x14ac:dyDescent="0.3">
      <c r="A545" s="4"/>
      <c r="B545" s="4"/>
      <c r="C545" s="4"/>
      <c r="D545" s="4"/>
    </row>
    <row r="546" spans="1:4" ht="15.75" customHeight="1" x14ac:dyDescent="0.3">
      <c r="A546" s="4"/>
      <c r="B546" s="4"/>
      <c r="C546" s="4"/>
      <c r="D546" s="4"/>
    </row>
    <row r="547" spans="1:4" ht="15.75" customHeight="1" x14ac:dyDescent="0.3">
      <c r="A547" s="4"/>
      <c r="B547" s="4"/>
      <c r="C547" s="4"/>
      <c r="D547" s="4"/>
    </row>
    <row r="548" spans="1:4" ht="15.75" customHeight="1" x14ac:dyDescent="0.3">
      <c r="A548" s="4"/>
      <c r="B548" s="4"/>
      <c r="C548" s="4"/>
      <c r="D548" s="4"/>
    </row>
    <row r="549" spans="1:4" ht="15.75" customHeight="1" x14ac:dyDescent="0.3">
      <c r="A549" s="4"/>
      <c r="B549" s="4"/>
      <c r="C549" s="4"/>
      <c r="D549" s="4"/>
    </row>
    <row r="550" spans="1:4" ht="15.75" customHeight="1" x14ac:dyDescent="0.3">
      <c r="A550" s="4"/>
      <c r="B550" s="4"/>
      <c r="C550" s="4"/>
      <c r="D550" s="4"/>
    </row>
    <row r="551" spans="1:4" ht="15.75" customHeight="1" x14ac:dyDescent="0.3">
      <c r="A551" s="4"/>
      <c r="B551" s="4"/>
      <c r="C551" s="4"/>
      <c r="D551" s="4"/>
    </row>
    <row r="552" spans="1:4" ht="15.75" customHeight="1" x14ac:dyDescent="0.3">
      <c r="A552" s="4"/>
      <c r="B552" s="4"/>
      <c r="C552" s="4"/>
      <c r="D552" s="4"/>
    </row>
    <row r="553" spans="1:4" ht="15.75" customHeight="1" x14ac:dyDescent="0.3">
      <c r="A553" s="4"/>
      <c r="B553" s="4"/>
      <c r="C553" s="4"/>
      <c r="D553" s="4"/>
    </row>
    <row r="554" spans="1:4" ht="15.75" customHeight="1" x14ac:dyDescent="0.3">
      <c r="A554" s="4"/>
      <c r="B554" s="4"/>
      <c r="C554" s="4"/>
      <c r="D554" s="4"/>
    </row>
    <row r="555" spans="1:4" ht="15.75" customHeight="1" x14ac:dyDescent="0.3">
      <c r="A555" s="4"/>
      <c r="B555" s="4"/>
      <c r="C555" s="4"/>
      <c r="D555" s="4"/>
    </row>
    <row r="556" spans="1:4" ht="15.75" customHeight="1" x14ac:dyDescent="0.3">
      <c r="A556" s="4"/>
      <c r="B556" s="4"/>
      <c r="C556" s="4"/>
      <c r="D556" s="4"/>
    </row>
    <row r="557" spans="1:4" ht="15.75" customHeight="1" x14ac:dyDescent="0.3">
      <c r="A557" s="4"/>
      <c r="B557" s="4"/>
      <c r="C557" s="4"/>
      <c r="D557" s="4"/>
    </row>
    <row r="558" spans="1:4" ht="15.75" customHeight="1" x14ac:dyDescent="0.3">
      <c r="A558" s="4"/>
      <c r="B558" s="4"/>
      <c r="C558" s="4"/>
      <c r="D558" s="4"/>
    </row>
    <row r="559" spans="1:4" ht="15.75" customHeight="1" x14ac:dyDescent="0.3">
      <c r="A559" s="4"/>
      <c r="B559" s="4"/>
      <c r="C559" s="4"/>
      <c r="D559" s="4"/>
    </row>
    <row r="560" spans="1:4" ht="15.75" customHeight="1" x14ac:dyDescent="0.3">
      <c r="A560" s="4"/>
      <c r="B560" s="4"/>
      <c r="C560" s="4"/>
      <c r="D560" s="4"/>
    </row>
    <row r="561" spans="1:4" ht="15.75" customHeight="1" x14ac:dyDescent="0.3">
      <c r="A561" s="4"/>
      <c r="B561" s="4"/>
      <c r="C561" s="4"/>
      <c r="D561" s="4"/>
    </row>
    <row r="562" spans="1:4" ht="15.75" customHeight="1" x14ac:dyDescent="0.3">
      <c r="A562" s="4"/>
      <c r="B562" s="4"/>
      <c r="C562" s="4"/>
      <c r="D562" s="4"/>
    </row>
    <row r="563" spans="1:4" ht="15.75" customHeight="1" x14ac:dyDescent="0.3">
      <c r="A563" s="4"/>
      <c r="B563" s="4"/>
      <c r="C563" s="4"/>
      <c r="D563" s="4"/>
    </row>
    <row r="564" spans="1:4" ht="15.75" customHeight="1" x14ac:dyDescent="0.3">
      <c r="A564" s="4"/>
      <c r="B564" s="4"/>
      <c r="C564" s="4"/>
      <c r="D564" s="4"/>
    </row>
    <row r="565" spans="1:4" ht="15.75" customHeight="1" x14ac:dyDescent="0.3">
      <c r="A565" s="4"/>
      <c r="B565" s="4"/>
      <c r="C565" s="4"/>
      <c r="D565" s="4"/>
    </row>
    <row r="566" spans="1:4" ht="15.75" customHeight="1" x14ac:dyDescent="0.3">
      <c r="A566" s="4"/>
      <c r="B566" s="4"/>
      <c r="C566" s="4"/>
      <c r="D566" s="4"/>
    </row>
    <row r="567" spans="1:4" ht="15.75" customHeight="1" x14ac:dyDescent="0.3">
      <c r="A567" s="4"/>
      <c r="B567" s="4"/>
      <c r="C567" s="4"/>
      <c r="D567" s="4"/>
    </row>
    <row r="568" spans="1:4" ht="15.75" customHeight="1" x14ac:dyDescent="0.3">
      <c r="A568" s="4"/>
      <c r="B568" s="4"/>
      <c r="C568" s="4"/>
      <c r="D568" s="4"/>
    </row>
    <row r="569" spans="1:4" ht="15.75" customHeight="1" x14ac:dyDescent="0.3">
      <c r="A569" s="4"/>
      <c r="B569" s="4"/>
      <c r="C569" s="4"/>
      <c r="D569" s="4"/>
    </row>
    <row r="570" spans="1:4" ht="15.75" customHeight="1" x14ac:dyDescent="0.3">
      <c r="A570" s="4"/>
      <c r="B570" s="4"/>
      <c r="C570" s="4"/>
      <c r="D570" s="4"/>
    </row>
    <row r="571" spans="1:4" ht="15.75" customHeight="1" x14ac:dyDescent="0.3">
      <c r="A571" s="4"/>
      <c r="B571" s="4"/>
      <c r="C571" s="4"/>
      <c r="D571" s="4"/>
    </row>
    <row r="572" spans="1:4" ht="15.75" customHeight="1" x14ac:dyDescent="0.3">
      <c r="A572" s="4"/>
      <c r="B572" s="4"/>
      <c r="C572" s="4"/>
      <c r="D572" s="4"/>
    </row>
    <row r="573" spans="1:4" ht="15.75" customHeight="1" x14ac:dyDescent="0.3">
      <c r="A573" s="4"/>
      <c r="B573" s="4"/>
      <c r="C573" s="4"/>
      <c r="D573" s="4"/>
    </row>
    <row r="574" spans="1:4" ht="15.75" customHeight="1" x14ac:dyDescent="0.3">
      <c r="A574" s="4"/>
      <c r="B574" s="4"/>
      <c r="C574" s="4"/>
      <c r="D574" s="4"/>
    </row>
    <row r="575" spans="1:4" ht="15.75" customHeight="1" x14ac:dyDescent="0.3">
      <c r="A575" s="4"/>
      <c r="B575" s="4"/>
      <c r="C575" s="4"/>
      <c r="D575" s="4"/>
    </row>
    <row r="576" spans="1:4" ht="15.75" customHeight="1" x14ac:dyDescent="0.3">
      <c r="A576" s="4"/>
      <c r="B576" s="4"/>
      <c r="C576" s="4"/>
      <c r="D576" s="4"/>
    </row>
    <row r="577" spans="1:4" ht="15.75" customHeight="1" x14ac:dyDescent="0.3">
      <c r="A577" s="4"/>
      <c r="B577" s="4"/>
      <c r="C577" s="4"/>
      <c r="D577" s="4"/>
    </row>
    <row r="578" spans="1:4" ht="15.75" customHeight="1" x14ac:dyDescent="0.3">
      <c r="A578" s="4"/>
      <c r="B578" s="4"/>
      <c r="C578" s="4"/>
      <c r="D578" s="4"/>
    </row>
    <row r="579" spans="1:4" ht="15.75" customHeight="1" x14ac:dyDescent="0.3">
      <c r="A579" s="4"/>
      <c r="B579" s="4"/>
      <c r="C579" s="4"/>
      <c r="D579" s="4"/>
    </row>
    <row r="580" spans="1:4" ht="15.75" customHeight="1" x14ac:dyDescent="0.3">
      <c r="A580" s="4"/>
      <c r="B580" s="4"/>
      <c r="C580" s="4"/>
      <c r="D580" s="4"/>
    </row>
    <row r="581" spans="1:4" ht="15.75" customHeight="1" x14ac:dyDescent="0.3">
      <c r="A581" s="4"/>
      <c r="B581" s="4"/>
      <c r="C581" s="4"/>
      <c r="D581" s="4"/>
    </row>
    <row r="582" spans="1:4" ht="15.75" customHeight="1" x14ac:dyDescent="0.3">
      <c r="A582" s="4"/>
      <c r="B582" s="4"/>
      <c r="C582" s="4"/>
      <c r="D582" s="4"/>
    </row>
    <row r="583" spans="1:4" ht="15.75" customHeight="1" x14ac:dyDescent="0.3">
      <c r="A583" s="4"/>
      <c r="B583" s="4"/>
      <c r="C583" s="4"/>
      <c r="D583" s="4"/>
    </row>
    <row r="584" spans="1:4" ht="15.75" customHeight="1" x14ac:dyDescent="0.3">
      <c r="A584" s="4"/>
      <c r="B584" s="4"/>
      <c r="C584" s="4"/>
      <c r="D584" s="4"/>
    </row>
    <row r="585" spans="1:4" ht="15.75" customHeight="1" x14ac:dyDescent="0.3">
      <c r="A585" s="4"/>
      <c r="B585" s="4"/>
      <c r="C585" s="4"/>
      <c r="D585" s="4"/>
    </row>
    <row r="586" spans="1:4" ht="15.75" customHeight="1" x14ac:dyDescent="0.3">
      <c r="A586" s="4"/>
      <c r="B586" s="4"/>
      <c r="C586" s="4"/>
      <c r="D586" s="4"/>
    </row>
    <row r="587" spans="1:4" ht="15.75" customHeight="1" x14ac:dyDescent="0.3">
      <c r="A587" s="4"/>
      <c r="B587" s="4"/>
      <c r="C587" s="4"/>
      <c r="D587" s="4"/>
    </row>
    <row r="588" spans="1:4" ht="15.75" customHeight="1" x14ac:dyDescent="0.3">
      <c r="A588" s="4"/>
      <c r="B588" s="4"/>
      <c r="C588" s="4"/>
      <c r="D588" s="4"/>
    </row>
    <row r="589" spans="1:4" ht="15.75" customHeight="1" x14ac:dyDescent="0.3">
      <c r="A589" s="4"/>
      <c r="B589" s="4"/>
      <c r="C589" s="4"/>
      <c r="D589" s="4"/>
    </row>
    <row r="590" spans="1:4" ht="15.75" customHeight="1" x14ac:dyDescent="0.3">
      <c r="A590" s="4"/>
      <c r="B590" s="4"/>
      <c r="C590" s="4"/>
      <c r="D590" s="4"/>
    </row>
    <row r="591" spans="1:4" ht="15.75" customHeight="1" x14ac:dyDescent="0.3">
      <c r="A591" s="4"/>
      <c r="B591" s="4"/>
      <c r="C591" s="4"/>
      <c r="D591" s="4"/>
    </row>
    <row r="592" spans="1:4" ht="15.75" customHeight="1" x14ac:dyDescent="0.3">
      <c r="A592" s="4"/>
      <c r="B592" s="4"/>
      <c r="C592" s="4"/>
      <c r="D592" s="4"/>
    </row>
    <row r="593" spans="1:4" ht="15.75" customHeight="1" x14ac:dyDescent="0.3">
      <c r="A593" s="4"/>
      <c r="B593" s="4"/>
      <c r="C593" s="4"/>
      <c r="D593" s="4"/>
    </row>
    <row r="594" spans="1:4" ht="15.75" customHeight="1" x14ac:dyDescent="0.3">
      <c r="A594" s="4"/>
      <c r="B594" s="4"/>
      <c r="C594" s="4"/>
      <c r="D594" s="4"/>
    </row>
    <row r="595" spans="1:4" ht="15.75" customHeight="1" x14ac:dyDescent="0.3">
      <c r="A595" s="4"/>
      <c r="B595" s="4"/>
      <c r="C595" s="4"/>
      <c r="D595" s="4"/>
    </row>
    <row r="596" spans="1:4" ht="15.75" customHeight="1" x14ac:dyDescent="0.3">
      <c r="A596" s="4"/>
      <c r="B596" s="4"/>
      <c r="C596" s="4"/>
      <c r="D596" s="4"/>
    </row>
    <row r="597" spans="1:4" ht="15.75" customHeight="1" x14ac:dyDescent="0.3">
      <c r="A597" s="4"/>
      <c r="B597" s="4"/>
      <c r="C597" s="4"/>
      <c r="D597" s="4"/>
    </row>
    <row r="598" spans="1:4" ht="15.75" customHeight="1" x14ac:dyDescent="0.3">
      <c r="A598" s="4"/>
      <c r="B598" s="4"/>
      <c r="C598" s="4"/>
      <c r="D598" s="4"/>
    </row>
    <row r="599" spans="1:4" ht="15.75" customHeight="1" x14ac:dyDescent="0.3">
      <c r="A599" s="4"/>
      <c r="B599" s="4"/>
      <c r="C599" s="4"/>
      <c r="D599" s="4"/>
    </row>
    <row r="600" spans="1:4" ht="15.75" customHeight="1" x14ac:dyDescent="0.3">
      <c r="A600" s="4"/>
      <c r="B600" s="4"/>
      <c r="C600" s="4"/>
      <c r="D600" s="4"/>
    </row>
    <row r="601" spans="1:4" ht="15.75" customHeight="1" x14ac:dyDescent="0.3">
      <c r="A601" s="4"/>
      <c r="B601" s="4"/>
      <c r="C601" s="4"/>
      <c r="D601" s="4"/>
    </row>
    <row r="602" spans="1:4" ht="15.75" customHeight="1" x14ac:dyDescent="0.3">
      <c r="A602" s="4"/>
      <c r="B602" s="4"/>
      <c r="C602" s="4"/>
      <c r="D602" s="4"/>
    </row>
    <row r="603" spans="1:4" ht="15.75" customHeight="1" x14ac:dyDescent="0.3">
      <c r="A603" s="4"/>
      <c r="B603" s="4"/>
      <c r="C603" s="4"/>
      <c r="D603" s="4"/>
    </row>
    <row r="604" spans="1:4" ht="15.75" customHeight="1" x14ac:dyDescent="0.3">
      <c r="A604" s="4"/>
      <c r="B604" s="4"/>
      <c r="C604" s="4"/>
      <c r="D604" s="4"/>
    </row>
    <row r="605" spans="1:4" ht="15.75" customHeight="1" x14ac:dyDescent="0.3">
      <c r="A605" s="4"/>
      <c r="B605" s="4"/>
      <c r="C605" s="4"/>
      <c r="D605" s="4"/>
    </row>
    <row r="606" spans="1:4" ht="15.75" customHeight="1" x14ac:dyDescent="0.3">
      <c r="A606" s="4"/>
      <c r="B606" s="4"/>
      <c r="C606" s="4"/>
      <c r="D606" s="4"/>
    </row>
    <row r="607" spans="1:4" ht="15.75" customHeight="1" x14ac:dyDescent="0.3">
      <c r="A607" s="4"/>
      <c r="B607" s="4"/>
      <c r="C607" s="4"/>
      <c r="D607" s="4"/>
    </row>
    <row r="608" spans="1:4" ht="15.75" customHeight="1" x14ac:dyDescent="0.3">
      <c r="A608" s="4"/>
      <c r="B608" s="4"/>
      <c r="C608" s="4"/>
      <c r="D608" s="4"/>
    </row>
    <row r="609" spans="1:4" ht="15.75" customHeight="1" x14ac:dyDescent="0.3">
      <c r="A609" s="4"/>
      <c r="B609" s="4"/>
      <c r="C609" s="4"/>
      <c r="D609" s="4"/>
    </row>
    <row r="610" spans="1:4" ht="15.75" customHeight="1" x14ac:dyDescent="0.3">
      <c r="A610" s="4"/>
      <c r="B610" s="4"/>
      <c r="C610" s="4"/>
      <c r="D610" s="4"/>
    </row>
    <row r="611" spans="1:4" ht="15.75" customHeight="1" x14ac:dyDescent="0.3">
      <c r="A611" s="4"/>
      <c r="B611" s="4"/>
      <c r="C611" s="4"/>
      <c r="D611" s="4"/>
    </row>
    <row r="612" spans="1:4" ht="15.75" customHeight="1" x14ac:dyDescent="0.3">
      <c r="A612" s="4"/>
      <c r="B612" s="4"/>
      <c r="C612" s="4"/>
      <c r="D612" s="4"/>
    </row>
    <row r="613" spans="1:4" ht="15.75" customHeight="1" x14ac:dyDescent="0.3">
      <c r="A613" s="4"/>
      <c r="B613" s="4"/>
      <c r="C613" s="4"/>
      <c r="D613" s="4"/>
    </row>
    <row r="614" spans="1:4" ht="15.75" customHeight="1" x14ac:dyDescent="0.3">
      <c r="A614" s="4"/>
      <c r="B614" s="4"/>
      <c r="C614" s="4"/>
      <c r="D614" s="4"/>
    </row>
    <row r="615" spans="1:4" ht="15.75" customHeight="1" x14ac:dyDescent="0.3">
      <c r="A615" s="4"/>
      <c r="B615" s="4"/>
      <c r="C615" s="4"/>
      <c r="D615" s="4"/>
    </row>
    <row r="616" spans="1:4" ht="15.75" customHeight="1" x14ac:dyDescent="0.3">
      <c r="A616" s="4"/>
      <c r="B616" s="4"/>
      <c r="C616" s="4"/>
      <c r="D616" s="4"/>
    </row>
    <row r="617" spans="1:4" ht="15.75" customHeight="1" x14ac:dyDescent="0.3">
      <c r="A617" s="4"/>
      <c r="B617" s="4"/>
      <c r="C617" s="4"/>
      <c r="D617" s="4"/>
    </row>
    <row r="618" spans="1:4" ht="15.75" customHeight="1" x14ac:dyDescent="0.3">
      <c r="A618" s="4"/>
      <c r="B618" s="4"/>
      <c r="C618" s="4"/>
      <c r="D618" s="4"/>
    </row>
    <row r="619" spans="1:4" ht="15.75" customHeight="1" x14ac:dyDescent="0.3">
      <c r="A619" s="4"/>
      <c r="B619" s="4"/>
      <c r="C619" s="4"/>
      <c r="D619" s="4"/>
    </row>
    <row r="620" spans="1:4" ht="15.75" customHeight="1" x14ac:dyDescent="0.3">
      <c r="A620" s="4"/>
      <c r="B620" s="4"/>
      <c r="C620" s="4"/>
      <c r="D620" s="4"/>
    </row>
    <row r="621" spans="1:4" ht="15.75" customHeight="1" x14ac:dyDescent="0.3">
      <c r="A621" s="4"/>
      <c r="B621" s="4"/>
      <c r="C621" s="4"/>
      <c r="D621" s="4"/>
    </row>
    <row r="622" spans="1:4" ht="15.75" customHeight="1" x14ac:dyDescent="0.3">
      <c r="A622" s="4"/>
      <c r="B622" s="4"/>
      <c r="C622" s="4"/>
      <c r="D622" s="4"/>
    </row>
    <row r="623" spans="1:4" ht="15.75" customHeight="1" x14ac:dyDescent="0.3">
      <c r="A623" s="4"/>
      <c r="B623" s="4"/>
      <c r="C623" s="4"/>
      <c r="D623" s="4"/>
    </row>
    <row r="624" spans="1:4" ht="15.75" customHeight="1" x14ac:dyDescent="0.3">
      <c r="A624" s="4"/>
      <c r="B624" s="4"/>
      <c r="C624" s="4"/>
      <c r="D624" s="4"/>
    </row>
    <row r="625" spans="1:4" ht="15.75" customHeight="1" x14ac:dyDescent="0.3">
      <c r="A625" s="4"/>
      <c r="B625" s="4"/>
      <c r="C625" s="4"/>
      <c r="D625" s="4"/>
    </row>
    <row r="626" spans="1:4" ht="15.75" customHeight="1" x14ac:dyDescent="0.3">
      <c r="A626" s="4"/>
      <c r="B626" s="4"/>
      <c r="C626" s="4"/>
      <c r="D626" s="4"/>
    </row>
    <row r="627" spans="1:4" ht="15.75" customHeight="1" x14ac:dyDescent="0.3">
      <c r="A627" s="4"/>
      <c r="B627" s="4"/>
      <c r="C627" s="4"/>
      <c r="D627" s="4"/>
    </row>
    <row r="628" spans="1:4" ht="15.75" customHeight="1" x14ac:dyDescent="0.3">
      <c r="A628" s="4"/>
      <c r="B628" s="4"/>
      <c r="C628" s="4"/>
      <c r="D628" s="4"/>
    </row>
    <row r="629" spans="1:4" ht="15.75" customHeight="1" x14ac:dyDescent="0.3">
      <c r="A629" s="4"/>
      <c r="B629" s="4"/>
      <c r="C629" s="4"/>
      <c r="D629" s="4"/>
    </row>
    <row r="630" spans="1:4" ht="15.75" customHeight="1" x14ac:dyDescent="0.3">
      <c r="A630" s="4"/>
      <c r="B630" s="4"/>
      <c r="C630" s="4"/>
      <c r="D630" s="4"/>
    </row>
    <row r="631" spans="1:4" ht="15.75" customHeight="1" x14ac:dyDescent="0.3">
      <c r="A631" s="4"/>
      <c r="B631" s="4"/>
      <c r="C631" s="4"/>
      <c r="D631" s="4"/>
    </row>
    <row r="632" spans="1:4" ht="15.75" customHeight="1" x14ac:dyDescent="0.3">
      <c r="A632" s="4"/>
      <c r="B632" s="4"/>
      <c r="C632" s="4"/>
      <c r="D632" s="4"/>
    </row>
    <row r="633" spans="1:4" ht="15.75" customHeight="1" x14ac:dyDescent="0.3">
      <c r="A633" s="4"/>
      <c r="B633" s="4"/>
      <c r="C633" s="4"/>
      <c r="D633" s="4"/>
    </row>
    <row r="634" spans="1:4" ht="15.75" customHeight="1" x14ac:dyDescent="0.3">
      <c r="A634" s="4"/>
      <c r="B634" s="4"/>
      <c r="C634" s="4"/>
      <c r="D634" s="4"/>
    </row>
    <row r="635" spans="1:4" ht="15.75" customHeight="1" x14ac:dyDescent="0.3">
      <c r="A635" s="4"/>
      <c r="B635" s="4"/>
      <c r="C635" s="4"/>
      <c r="D635" s="4"/>
    </row>
    <row r="636" spans="1:4" ht="15.75" customHeight="1" x14ac:dyDescent="0.3">
      <c r="A636" s="4"/>
      <c r="B636" s="4"/>
      <c r="C636" s="4"/>
      <c r="D636" s="4"/>
    </row>
    <row r="637" spans="1:4" ht="15.75" customHeight="1" x14ac:dyDescent="0.3">
      <c r="A637" s="4"/>
      <c r="B637" s="4"/>
      <c r="C637" s="4"/>
      <c r="D637" s="4"/>
    </row>
    <row r="638" spans="1:4" ht="15.75" customHeight="1" x14ac:dyDescent="0.3">
      <c r="A638" s="4"/>
      <c r="B638" s="4"/>
      <c r="C638" s="4"/>
      <c r="D638" s="4"/>
    </row>
    <row r="639" spans="1:4" ht="15.75" customHeight="1" x14ac:dyDescent="0.3">
      <c r="A639" s="4"/>
      <c r="B639" s="4"/>
      <c r="C639" s="4"/>
      <c r="D639" s="4"/>
    </row>
    <row r="640" spans="1:4" ht="15.75" customHeight="1" x14ac:dyDescent="0.3">
      <c r="A640" s="4"/>
      <c r="B640" s="4"/>
      <c r="C640" s="4"/>
      <c r="D640" s="4"/>
    </row>
    <row r="641" spans="1:4" ht="15.75" customHeight="1" x14ac:dyDescent="0.3">
      <c r="A641" s="4"/>
      <c r="B641" s="4"/>
      <c r="C641" s="4"/>
      <c r="D641" s="4"/>
    </row>
    <row r="642" spans="1:4" ht="15.75" customHeight="1" x14ac:dyDescent="0.3">
      <c r="A642" s="4"/>
      <c r="B642" s="4"/>
      <c r="C642" s="4"/>
      <c r="D642" s="4"/>
    </row>
    <row r="643" spans="1:4" ht="15.75" customHeight="1" x14ac:dyDescent="0.3">
      <c r="A643" s="4"/>
      <c r="B643" s="4"/>
      <c r="C643" s="4"/>
      <c r="D643" s="4"/>
    </row>
    <row r="644" spans="1:4" ht="15.75" customHeight="1" x14ac:dyDescent="0.3">
      <c r="A644" s="4"/>
      <c r="B644" s="4"/>
      <c r="C644" s="4"/>
      <c r="D644" s="4"/>
    </row>
    <row r="645" spans="1:4" ht="15.75" customHeight="1" x14ac:dyDescent="0.3">
      <c r="A645" s="4"/>
      <c r="B645" s="4"/>
      <c r="C645" s="4"/>
      <c r="D645" s="4"/>
    </row>
    <row r="646" spans="1:4" ht="15.75" customHeight="1" x14ac:dyDescent="0.3">
      <c r="A646" s="4"/>
      <c r="B646" s="4"/>
      <c r="C646" s="4"/>
      <c r="D646" s="4"/>
    </row>
    <row r="647" spans="1:4" ht="15.75" customHeight="1" x14ac:dyDescent="0.3">
      <c r="A647" s="4"/>
      <c r="B647" s="4"/>
      <c r="C647" s="4"/>
      <c r="D647" s="4"/>
    </row>
    <row r="648" spans="1:4" ht="15.75" customHeight="1" x14ac:dyDescent="0.3">
      <c r="A648" s="4"/>
      <c r="B648" s="4"/>
      <c r="C648" s="4"/>
      <c r="D648" s="4"/>
    </row>
    <row r="649" spans="1:4" ht="15.75" customHeight="1" x14ac:dyDescent="0.3">
      <c r="A649" s="4"/>
      <c r="B649" s="4"/>
      <c r="C649" s="4"/>
      <c r="D649" s="4"/>
    </row>
    <row r="650" spans="1:4" ht="15.75" customHeight="1" x14ac:dyDescent="0.3">
      <c r="A650" s="4"/>
      <c r="B650" s="4"/>
      <c r="C650" s="4"/>
      <c r="D650" s="4"/>
    </row>
    <row r="651" spans="1:4" ht="15.75" customHeight="1" x14ac:dyDescent="0.3">
      <c r="A651" s="4"/>
      <c r="B651" s="4"/>
      <c r="C651" s="4"/>
      <c r="D651" s="4"/>
    </row>
    <row r="652" spans="1:4" ht="15.75" customHeight="1" x14ac:dyDescent="0.3">
      <c r="A652" s="4"/>
      <c r="B652" s="4"/>
      <c r="C652" s="4"/>
      <c r="D652" s="4"/>
    </row>
    <row r="653" spans="1:4" ht="15.75" customHeight="1" x14ac:dyDescent="0.3">
      <c r="A653" s="4"/>
      <c r="B653" s="4"/>
      <c r="C653" s="4"/>
      <c r="D653" s="4"/>
    </row>
    <row r="654" spans="1:4" ht="15.75" customHeight="1" x14ac:dyDescent="0.3">
      <c r="A654" s="4"/>
      <c r="B654" s="4"/>
      <c r="C654" s="4"/>
      <c r="D654" s="4"/>
    </row>
    <row r="655" spans="1:4" ht="15.75" customHeight="1" x14ac:dyDescent="0.3">
      <c r="A655" s="4"/>
      <c r="B655" s="4"/>
      <c r="C655" s="4"/>
      <c r="D655" s="4"/>
    </row>
    <row r="656" spans="1:4" ht="15.75" customHeight="1" x14ac:dyDescent="0.3">
      <c r="A656" s="4"/>
      <c r="B656" s="4"/>
      <c r="C656" s="4"/>
      <c r="D656" s="4"/>
    </row>
    <row r="657" spans="1:4" ht="15.75" customHeight="1" x14ac:dyDescent="0.3">
      <c r="A657" s="4"/>
      <c r="B657" s="4"/>
      <c r="C657" s="4"/>
      <c r="D657" s="4"/>
    </row>
    <row r="658" spans="1:4" ht="15.75" customHeight="1" x14ac:dyDescent="0.3">
      <c r="A658" s="4"/>
      <c r="B658" s="4"/>
      <c r="C658" s="4"/>
      <c r="D658" s="4"/>
    </row>
    <row r="659" spans="1:4" ht="15.75" customHeight="1" x14ac:dyDescent="0.3">
      <c r="A659" s="4"/>
      <c r="B659" s="4"/>
      <c r="C659" s="4"/>
      <c r="D659" s="4"/>
    </row>
    <row r="660" spans="1:4" ht="15.75" customHeight="1" x14ac:dyDescent="0.3">
      <c r="A660" s="4"/>
      <c r="B660" s="4"/>
      <c r="C660" s="4"/>
      <c r="D660" s="4"/>
    </row>
    <row r="661" spans="1:4" ht="15.75" customHeight="1" x14ac:dyDescent="0.3">
      <c r="A661" s="4"/>
      <c r="B661" s="4"/>
      <c r="C661" s="4"/>
      <c r="D661" s="4"/>
    </row>
    <row r="662" spans="1:4" ht="15.75" customHeight="1" x14ac:dyDescent="0.3">
      <c r="A662" s="4"/>
      <c r="B662" s="4"/>
      <c r="C662" s="4"/>
      <c r="D662" s="4"/>
    </row>
    <row r="663" spans="1:4" ht="15.75" customHeight="1" x14ac:dyDescent="0.3">
      <c r="A663" s="4"/>
      <c r="B663" s="4"/>
      <c r="C663" s="4"/>
      <c r="D663" s="4"/>
    </row>
    <row r="664" spans="1:4" ht="15.75" customHeight="1" x14ac:dyDescent="0.3">
      <c r="A664" s="4"/>
      <c r="B664" s="4"/>
      <c r="C664" s="4"/>
      <c r="D664" s="4"/>
    </row>
    <row r="665" spans="1:4" ht="15.75" customHeight="1" x14ac:dyDescent="0.3">
      <c r="A665" s="4"/>
      <c r="B665" s="4"/>
      <c r="C665" s="4"/>
      <c r="D665" s="4"/>
    </row>
    <row r="666" spans="1:4" ht="15.75" customHeight="1" x14ac:dyDescent="0.3">
      <c r="A666" s="4"/>
      <c r="B666" s="4"/>
      <c r="C666" s="4"/>
      <c r="D666" s="4"/>
    </row>
    <row r="667" spans="1:4" ht="15.75" customHeight="1" x14ac:dyDescent="0.3">
      <c r="A667" s="4"/>
      <c r="B667" s="4"/>
      <c r="C667" s="4"/>
      <c r="D667" s="4"/>
    </row>
    <row r="668" spans="1:4" ht="15.75" customHeight="1" x14ac:dyDescent="0.3">
      <c r="A668" s="4"/>
      <c r="B668" s="4"/>
      <c r="C668" s="4"/>
      <c r="D668" s="4"/>
    </row>
    <row r="669" spans="1:4" ht="15.75" customHeight="1" x14ac:dyDescent="0.3">
      <c r="A669" s="4"/>
      <c r="B669" s="4"/>
      <c r="C669" s="4"/>
      <c r="D669" s="4"/>
    </row>
    <row r="670" spans="1:4" ht="15.75" customHeight="1" x14ac:dyDescent="0.3">
      <c r="A670" s="4"/>
      <c r="B670" s="4"/>
      <c r="C670" s="4"/>
      <c r="D670" s="4"/>
    </row>
    <row r="671" spans="1:4" ht="15.75" customHeight="1" x14ac:dyDescent="0.3">
      <c r="A671" s="4"/>
      <c r="B671" s="4"/>
      <c r="C671" s="4"/>
      <c r="D671" s="4"/>
    </row>
    <row r="672" spans="1:4" ht="15.75" customHeight="1" x14ac:dyDescent="0.3">
      <c r="A672" s="4"/>
      <c r="B672" s="4"/>
      <c r="C672" s="4"/>
      <c r="D672" s="4"/>
    </row>
    <row r="673" spans="1:4" ht="15.75" customHeight="1" x14ac:dyDescent="0.3">
      <c r="A673" s="4"/>
      <c r="B673" s="4"/>
      <c r="C673" s="4"/>
      <c r="D673" s="4"/>
    </row>
    <row r="674" spans="1:4" ht="15.75" customHeight="1" x14ac:dyDescent="0.3">
      <c r="A674" s="4"/>
      <c r="B674" s="4"/>
      <c r="C674" s="4"/>
      <c r="D674" s="4"/>
    </row>
    <row r="675" spans="1:4" ht="15.75" customHeight="1" x14ac:dyDescent="0.3">
      <c r="A675" s="4"/>
      <c r="B675" s="4"/>
      <c r="C675" s="4"/>
      <c r="D675" s="4"/>
    </row>
    <row r="676" spans="1:4" ht="15.75" customHeight="1" x14ac:dyDescent="0.3">
      <c r="A676" s="4"/>
      <c r="B676" s="4"/>
      <c r="C676" s="4"/>
      <c r="D676" s="4"/>
    </row>
    <row r="677" spans="1:4" ht="15.75" customHeight="1" x14ac:dyDescent="0.3">
      <c r="A677" s="4"/>
      <c r="B677" s="4"/>
      <c r="C677" s="4"/>
      <c r="D677" s="4"/>
    </row>
    <row r="678" spans="1:4" ht="15.75" customHeight="1" x14ac:dyDescent="0.3">
      <c r="A678" s="4"/>
      <c r="B678" s="4"/>
      <c r="C678" s="4"/>
      <c r="D678" s="4"/>
    </row>
    <row r="679" spans="1:4" ht="15.75" customHeight="1" x14ac:dyDescent="0.3">
      <c r="A679" s="4"/>
      <c r="B679" s="4"/>
      <c r="C679" s="4"/>
      <c r="D679" s="4"/>
    </row>
    <row r="680" spans="1:4" ht="15.75" customHeight="1" x14ac:dyDescent="0.3">
      <c r="A680" s="4"/>
      <c r="B680" s="4"/>
      <c r="C680" s="4"/>
      <c r="D680" s="4"/>
    </row>
    <row r="681" spans="1:4" ht="15.75" customHeight="1" x14ac:dyDescent="0.3">
      <c r="A681" s="4"/>
      <c r="B681" s="4"/>
      <c r="C681" s="4"/>
      <c r="D681" s="4"/>
    </row>
    <row r="682" spans="1:4" ht="15.75" customHeight="1" x14ac:dyDescent="0.3">
      <c r="A682" s="4"/>
      <c r="B682" s="4"/>
      <c r="C682" s="4"/>
      <c r="D682" s="4"/>
    </row>
    <row r="683" spans="1:4" ht="15.75" customHeight="1" x14ac:dyDescent="0.3">
      <c r="A683" s="4"/>
      <c r="B683" s="4"/>
      <c r="C683" s="4"/>
      <c r="D683" s="4"/>
    </row>
    <row r="684" spans="1:4" ht="15.75" customHeight="1" x14ac:dyDescent="0.3">
      <c r="A684" s="4"/>
      <c r="B684" s="4"/>
      <c r="C684" s="4"/>
      <c r="D684" s="4"/>
    </row>
    <row r="685" spans="1:4" ht="15.75" customHeight="1" x14ac:dyDescent="0.3">
      <c r="A685" s="4"/>
      <c r="B685" s="4"/>
      <c r="C685" s="4"/>
      <c r="D685" s="4"/>
    </row>
    <row r="686" spans="1:4" ht="15.75" customHeight="1" x14ac:dyDescent="0.3">
      <c r="A686" s="4"/>
      <c r="B686" s="4"/>
      <c r="C686" s="4"/>
      <c r="D686" s="4"/>
    </row>
    <row r="687" spans="1:4" ht="15.75" customHeight="1" x14ac:dyDescent="0.3">
      <c r="A687" s="4"/>
      <c r="B687" s="4"/>
      <c r="C687" s="4"/>
      <c r="D687" s="4"/>
    </row>
    <row r="688" spans="1:4" ht="15.75" customHeight="1" x14ac:dyDescent="0.3">
      <c r="A688" s="4"/>
      <c r="B688" s="4"/>
      <c r="C688" s="4"/>
      <c r="D688" s="4"/>
    </row>
    <row r="689" spans="1:4" ht="15.75" customHeight="1" x14ac:dyDescent="0.3">
      <c r="A689" s="4"/>
      <c r="B689" s="4"/>
      <c r="C689" s="4"/>
      <c r="D689" s="4"/>
    </row>
    <row r="690" spans="1:4" ht="15.75" customHeight="1" x14ac:dyDescent="0.3">
      <c r="A690" s="4"/>
      <c r="B690" s="4"/>
      <c r="C690" s="4"/>
      <c r="D690" s="4"/>
    </row>
    <row r="691" spans="1:4" ht="15.75" customHeight="1" x14ac:dyDescent="0.3">
      <c r="A691" s="4"/>
      <c r="B691" s="4"/>
      <c r="C691" s="4"/>
      <c r="D691" s="4"/>
    </row>
    <row r="692" spans="1:4" ht="15.75" customHeight="1" x14ac:dyDescent="0.3">
      <c r="A692" s="4"/>
      <c r="B692" s="4"/>
      <c r="C692" s="4"/>
      <c r="D692" s="4"/>
    </row>
    <row r="693" spans="1:4" ht="15.75" customHeight="1" x14ac:dyDescent="0.3">
      <c r="A693" s="4"/>
      <c r="B693" s="4"/>
      <c r="C693" s="4"/>
      <c r="D693" s="4"/>
    </row>
    <row r="694" spans="1:4" ht="15.75" customHeight="1" x14ac:dyDescent="0.3">
      <c r="A694" s="4"/>
      <c r="B694" s="4"/>
      <c r="C694" s="4"/>
      <c r="D694" s="4"/>
    </row>
    <row r="695" spans="1:4" ht="15.75" customHeight="1" x14ac:dyDescent="0.3">
      <c r="A695" s="4"/>
      <c r="B695" s="4"/>
      <c r="C695" s="4"/>
      <c r="D695" s="4"/>
    </row>
    <row r="696" spans="1:4" ht="15.75" customHeight="1" x14ac:dyDescent="0.3">
      <c r="A696" s="4"/>
      <c r="B696" s="4"/>
      <c r="C696" s="4"/>
      <c r="D696" s="4"/>
    </row>
    <row r="697" spans="1:4" ht="15.75" customHeight="1" x14ac:dyDescent="0.3">
      <c r="A697" s="4"/>
      <c r="B697" s="4"/>
      <c r="C697" s="4"/>
      <c r="D697" s="4"/>
    </row>
    <row r="698" spans="1:4" ht="15.75" customHeight="1" x14ac:dyDescent="0.3">
      <c r="A698" s="4"/>
      <c r="B698" s="4"/>
      <c r="C698" s="4"/>
      <c r="D698" s="4"/>
    </row>
    <row r="699" spans="1:4" ht="15.75" customHeight="1" x14ac:dyDescent="0.3">
      <c r="A699" s="4"/>
      <c r="B699" s="4"/>
      <c r="C699" s="4"/>
      <c r="D699" s="4"/>
    </row>
    <row r="700" spans="1:4" ht="15.75" customHeight="1" x14ac:dyDescent="0.3">
      <c r="A700" s="4"/>
      <c r="B700" s="4"/>
      <c r="C700" s="4"/>
      <c r="D700" s="4"/>
    </row>
    <row r="701" spans="1:4" ht="15.75" customHeight="1" x14ac:dyDescent="0.3">
      <c r="A701" s="4"/>
      <c r="B701" s="4"/>
      <c r="C701" s="4"/>
      <c r="D701" s="4"/>
    </row>
    <row r="702" spans="1:4" ht="15.75" customHeight="1" x14ac:dyDescent="0.3">
      <c r="A702" s="4"/>
      <c r="B702" s="4"/>
      <c r="C702" s="4"/>
      <c r="D702" s="4"/>
    </row>
    <row r="703" spans="1:4" ht="15.75" customHeight="1" x14ac:dyDescent="0.3">
      <c r="A703" s="4"/>
      <c r="B703" s="4"/>
      <c r="C703" s="4"/>
      <c r="D703" s="4"/>
    </row>
    <row r="704" spans="1:4" ht="15.75" customHeight="1" x14ac:dyDescent="0.3">
      <c r="A704" s="4"/>
      <c r="B704" s="4"/>
      <c r="C704" s="4"/>
      <c r="D704" s="4"/>
    </row>
    <row r="705" spans="1:4" ht="15.75" customHeight="1" x14ac:dyDescent="0.3">
      <c r="A705" s="4"/>
      <c r="B705" s="4"/>
      <c r="C705" s="4"/>
      <c r="D705" s="4"/>
    </row>
    <row r="706" spans="1:4" ht="15.75" customHeight="1" x14ac:dyDescent="0.3">
      <c r="A706" s="4"/>
      <c r="B706" s="4"/>
      <c r="C706" s="4"/>
      <c r="D706" s="4"/>
    </row>
    <row r="707" spans="1:4" ht="15.75" customHeight="1" x14ac:dyDescent="0.3">
      <c r="A707" s="4"/>
      <c r="B707" s="4"/>
      <c r="C707" s="4"/>
      <c r="D707" s="4"/>
    </row>
    <row r="708" spans="1:4" ht="15.75" customHeight="1" x14ac:dyDescent="0.3">
      <c r="A708" s="4"/>
      <c r="B708" s="4"/>
      <c r="C708" s="4"/>
      <c r="D708" s="4"/>
    </row>
    <row r="709" spans="1:4" ht="15.75" customHeight="1" x14ac:dyDescent="0.3">
      <c r="A709" s="4"/>
      <c r="B709" s="4"/>
      <c r="C709" s="4"/>
      <c r="D709" s="4"/>
    </row>
    <row r="710" spans="1:4" ht="15.75" customHeight="1" x14ac:dyDescent="0.3">
      <c r="A710" s="4"/>
      <c r="B710" s="4"/>
      <c r="C710" s="4"/>
      <c r="D710" s="4"/>
    </row>
    <row r="711" spans="1:4" ht="15.75" customHeight="1" x14ac:dyDescent="0.3">
      <c r="A711" s="4"/>
      <c r="B711" s="4"/>
      <c r="C711" s="4"/>
      <c r="D711" s="4"/>
    </row>
    <row r="712" spans="1:4" ht="15.75" customHeight="1" x14ac:dyDescent="0.3">
      <c r="A712" s="4"/>
      <c r="B712" s="4"/>
      <c r="C712" s="4"/>
      <c r="D712" s="4"/>
    </row>
    <row r="713" spans="1:4" ht="15.75" customHeight="1" x14ac:dyDescent="0.3">
      <c r="A713" s="4"/>
      <c r="B713" s="4"/>
      <c r="C713" s="4"/>
      <c r="D713" s="4"/>
    </row>
    <row r="714" spans="1:4" ht="15.75" customHeight="1" x14ac:dyDescent="0.3">
      <c r="A714" s="4"/>
      <c r="B714" s="4"/>
      <c r="C714" s="4"/>
      <c r="D714" s="4"/>
    </row>
    <row r="715" spans="1:4" ht="15.75" customHeight="1" x14ac:dyDescent="0.3">
      <c r="A715" s="4"/>
      <c r="B715" s="4"/>
      <c r="C715" s="4"/>
      <c r="D715" s="4"/>
    </row>
    <row r="716" spans="1:4" ht="15.75" customHeight="1" x14ac:dyDescent="0.3">
      <c r="A716" s="4"/>
      <c r="B716" s="4"/>
      <c r="C716" s="4"/>
      <c r="D716" s="4"/>
    </row>
    <row r="717" spans="1:4" ht="15.75" customHeight="1" x14ac:dyDescent="0.3">
      <c r="A717" s="4"/>
      <c r="B717" s="4"/>
      <c r="C717" s="4"/>
      <c r="D717" s="4"/>
    </row>
    <row r="718" spans="1:4" ht="15.75" customHeight="1" x14ac:dyDescent="0.3">
      <c r="A718" s="4"/>
      <c r="B718" s="4"/>
      <c r="C718" s="4"/>
      <c r="D718" s="4"/>
    </row>
    <row r="719" spans="1:4" ht="15.75" customHeight="1" x14ac:dyDescent="0.3">
      <c r="A719" s="4"/>
      <c r="B719" s="4"/>
      <c r="C719" s="4"/>
      <c r="D719" s="4"/>
    </row>
    <row r="720" spans="1:4" ht="15.75" customHeight="1" x14ac:dyDescent="0.3">
      <c r="A720" s="4"/>
      <c r="B720" s="4"/>
      <c r="C720" s="4"/>
      <c r="D720" s="4"/>
    </row>
    <row r="721" spans="1:4" ht="15.75" customHeight="1" x14ac:dyDescent="0.3">
      <c r="A721" s="4"/>
      <c r="B721" s="4"/>
      <c r="C721" s="4"/>
      <c r="D721" s="4"/>
    </row>
    <row r="722" spans="1:4" ht="15.75" customHeight="1" x14ac:dyDescent="0.3">
      <c r="A722" s="4"/>
      <c r="B722" s="4"/>
      <c r="C722" s="4"/>
      <c r="D722" s="4"/>
    </row>
    <row r="723" spans="1:4" ht="15.75" customHeight="1" x14ac:dyDescent="0.3">
      <c r="A723" s="4"/>
      <c r="B723" s="4"/>
      <c r="C723" s="4"/>
      <c r="D723" s="4"/>
    </row>
    <row r="724" spans="1:4" ht="15.75" customHeight="1" x14ac:dyDescent="0.3">
      <c r="A724" s="4"/>
      <c r="B724" s="4"/>
      <c r="C724" s="4"/>
      <c r="D724" s="4"/>
    </row>
    <row r="725" spans="1:4" ht="15.75" customHeight="1" x14ac:dyDescent="0.3">
      <c r="A725" s="4"/>
      <c r="B725" s="4"/>
      <c r="C725" s="4"/>
      <c r="D725" s="4"/>
    </row>
    <row r="726" spans="1:4" ht="15.75" customHeight="1" x14ac:dyDescent="0.3">
      <c r="A726" s="4"/>
      <c r="B726" s="4"/>
      <c r="C726" s="4"/>
      <c r="D726" s="4"/>
    </row>
    <row r="727" spans="1:4" ht="15.75" customHeight="1" x14ac:dyDescent="0.3">
      <c r="A727" s="4"/>
      <c r="B727" s="4"/>
      <c r="C727" s="4"/>
      <c r="D727" s="4"/>
    </row>
    <row r="728" spans="1:4" ht="15.75" customHeight="1" x14ac:dyDescent="0.3">
      <c r="A728" s="4"/>
      <c r="B728" s="4"/>
      <c r="C728" s="4"/>
      <c r="D728" s="4"/>
    </row>
    <row r="729" spans="1:4" ht="15.75" customHeight="1" x14ac:dyDescent="0.3">
      <c r="A729" s="4"/>
      <c r="B729" s="4"/>
      <c r="C729" s="4"/>
      <c r="D729" s="4"/>
    </row>
    <row r="730" spans="1:4" ht="15.75" customHeight="1" x14ac:dyDescent="0.3">
      <c r="A730" s="4"/>
      <c r="B730" s="4"/>
      <c r="C730" s="4"/>
      <c r="D730" s="4"/>
    </row>
    <row r="731" spans="1:4" ht="15.75" customHeight="1" x14ac:dyDescent="0.3">
      <c r="A731" s="4"/>
      <c r="B731" s="4"/>
      <c r="C731" s="4"/>
      <c r="D731" s="4"/>
    </row>
    <row r="732" spans="1:4" ht="15.75" customHeight="1" x14ac:dyDescent="0.3">
      <c r="A732" s="4"/>
      <c r="B732" s="4"/>
      <c r="C732" s="4"/>
      <c r="D732" s="4"/>
    </row>
    <row r="733" spans="1:4" ht="15.75" customHeight="1" x14ac:dyDescent="0.3">
      <c r="A733" s="4"/>
      <c r="B733" s="4"/>
      <c r="C733" s="4"/>
      <c r="D733" s="4"/>
    </row>
    <row r="734" spans="1:4" ht="15.75" customHeight="1" x14ac:dyDescent="0.3">
      <c r="A734" s="4"/>
      <c r="B734" s="4"/>
      <c r="C734" s="4"/>
      <c r="D734" s="4"/>
    </row>
    <row r="735" spans="1:4" ht="15.75" customHeight="1" x14ac:dyDescent="0.3">
      <c r="A735" s="4"/>
      <c r="B735" s="4"/>
      <c r="C735" s="4"/>
      <c r="D735" s="4"/>
    </row>
    <row r="736" spans="1:4" ht="15.75" customHeight="1" x14ac:dyDescent="0.3">
      <c r="A736" s="4"/>
      <c r="B736" s="4"/>
      <c r="C736" s="4"/>
      <c r="D736" s="4"/>
    </row>
    <row r="737" spans="1:4" ht="15.75" customHeight="1" x14ac:dyDescent="0.3">
      <c r="A737" s="4"/>
      <c r="B737" s="4"/>
      <c r="C737" s="4"/>
      <c r="D737" s="4"/>
    </row>
    <row r="738" spans="1:4" ht="15.75" customHeight="1" x14ac:dyDescent="0.3">
      <c r="A738" s="4"/>
      <c r="B738" s="4"/>
      <c r="C738" s="4"/>
      <c r="D738" s="4"/>
    </row>
    <row r="739" spans="1:4" ht="15.75" customHeight="1" x14ac:dyDescent="0.3">
      <c r="A739" s="4"/>
      <c r="B739" s="4"/>
      <c r="C739" s="4"/>
      <c r="D739" s="4"/>
    </row>
    <row r="740" spans="1:4" ht="15.75" customHeight="1" x14ac:dyDescent="0.3">
      <c r="A740" s="4"/>
      <c r="B740" s="4"/>
      <c r="C740" s="4"/>
      <c r="D740" s="4"/>
    </row>
    <row r="741" spans="1:4" ht="15.75" customHeight="1" x14ac:dyDescent="0.3">
      <c r="A741" s="4"/>
      <c r="B741" s="4"/>
      <c r="C741" s="4"/>
      <c r="D741" s="4"/>
    </row>
    <row r="742" spans="1:4" ht="15.75" customHeight="1" x14ac:dyDescent="0.3">
      <c r="A742" s="4"/>
      <c r="B742" s="4"/>
      <c r="C742" s="4"/>
      <c r="D742" s="4"/>
    </row>
    <row r="743" spans="1:4" ht="15.75" customHeight="1" x14ac:dyDescent="0.3">
      <c r="A743" s="4"/>
      <c r="B743" s="4"/>
      <c r="C743" s="4"/>
      <c r="D743" s="4"/>
    </row>
    <row r="744" spans="1:4" ht="15.75" customHeight="1" x14ac:dyDescent="0.3">
      <c r="A744" s="4"/>
      <c r="B744" s="4"/>
      <c r="C744" s="4"/>
      <c r="D744" s="4"/>
    </row>
    <row r="745" spans="1:4" ht="15.75" customHeight="1" x14ac:dyDescent="0.3">
      <c r="A745" s="4"/>
      <c r="B745" s="4"/>
      <c r="C745" s="4"/>
      <c r="D745" s="4"/>
    </row>
    <row r="746" spans="1:4" ht="15.75" customHeight="1" x14ac:dyDescent="0.3">
      <c r="A746" s="4"/>
      <c r="B746" s="4"/>
      <c r="C746" s="4"/>
      <c r="D746" s="4"/>
    </row>
    <row r="747" spans="1:4" ht="15.75" customHeight="1" x14ac:dyDescent="0.3">
      <c r="A747" s="4"/>
      <c r="B747" s="4"/>
      <c r="C747" s="4"/>
      <c r="D747" s="4"/>
    </row>
    <row r="748" spans="1:4" ht="15.75" customHeight="1" x14ac:dyDescent="0.3">
      <c r="A748" s="4"/>
      <c r="B748" s="4"/>
      <c r="C748" s="4"/>
      <c r="D748" s="4"/>
    </row>
    <row r="749" spans="1:4" ht="15.75" customHeight="1" x14ac:dyDescent="0.3">
      <c r="A749" s="4"/>
      <c r="B749" s="4"/>
      <c r="C749" s="4"/>
      <c r="D749" s="4"/>
    </row>
    <row r="750" spans="1:4" ht="15.75" customHeight="1" x14ac:dyDescent="0.3">
      <c r="A750" s="4"/>
      <c r="B750" s="4"/>
      <c r="C750" s="4"/>
      <c r="D750" s="4"/>
    </row>
    <row r="751" spans="1:4" ht="15.75" customHeight="1" x14ac:dyDescent="0.3">
      <c r="A751" s="4"/>
      <c r="B751" s="4"/>
      <c r="C751" s="4"/>
      <c r="D751" s="4"/>
    </row>
    <row r="752" spans="1:4" ht="15.75" customHeight="1" x14ac:dyDescent="0.3">
      <c r="A752" s="4"/>
      <c r="B752" s="4"/>
      <c r="C752" s="4"/>
      <c r="D752" s="4"/>
    </row>
    <row r="753" spans="1:4" ht="15.75" customHeight="1" x14ac:dyDescent="0.3">
      <c r="A753" s="4"/>
      <c r="B753" s="4"/>
      <c r="C753" s="4"/>
      <c r="D753" s="4"/>
    </row>
    <row r="754" spans="1:4" ht="15.75" customHeight="1" x14ac:dyDescent="0.3">
      <c r="A754" s="4"/>
      <c r="B754" s="4"/>
      <c r="C754" s="4"/>
      <c r="D754" s="4"/>
    </row>
    <row r="755" spans="1:4" ht="15.75" customHeight="1" x14ac:dyDescent="0.3">
      <c r="A755" s="4"/>
      <c r="B755" s="4"/>
      <c r="C755" s="4"/>
      <c r="D755" s="4"/>
    </row>
    <row r="756" spans="1:4" ht="15.75" customHeight="1" x14ac:dyDescent="0.3">
      <c r="A756" s="4"/>
      <c r="B756" s="4"/>
      <c r="C756" s="4"/>
      <c r="D756" s="4"/>
    </row>
    <row r="757" spans="1:4" ht="15.75" customHeight="1" x14ac:dyDescent="0.3">
      <c r="A757" s="4"/>
      <c r="B757" s="4"/>
      <c r="C757" s="4"/>
      <c r="D757" s="4"/>
    </row>
    <row r="758" spans="1:4" ht="15.75" customHeight="1" x14ac:dyDescent="0.3">
      <c r="A758" s="4"/>
      <c r="B758" s="4"/>
      <c r="C758" s="4"/>
      <c r="D758" s="4"/>
    </row>
    <row r="759" spans="1:4" ht="15.75" customHeight="1" x14ac:dyDescent="0.3">
      <c r="A759" s="4"/>
      <c r="B759" s="4"/>
      <c r="C759" s="4"/>
      <c r="D759" s="4"/>
    </row>
    <row r="760" spans="1:4" ht="15.75" customHeight="1" x14ac:dyDescent="0.3">
      <c r="A760" s="4"/>
      <c r="B760" s="4"/>
      <c r="C760" s="4"/>
      <c r="D760" s="4"/>
    </row>
    <row r="761" spans="1:4" ht="15.75" customHeight="1" x14ac:dyDescent="0.3">
      <c r="A761" s="4"/>
      <c r="B761" s="4"/>
      <c r="C761" s="4"/>
      <c r="D761" s="4"/>
    </row>
    <row r="762" spans="1:4" ht="15.75" customHeight="1" x14ac:dyDescent="0.3">
      <c r="A762" s="4"/>
      <c r="B762" s="4"/>
      <c r="C762" s="4"/>
      <c r="D762" s="4"/>
    </row>
    <row r="763" spans="1:4" ht="15.75" customHeight="1" x14ac:dyDescent="0.3">
      <c r="A763" s="4"/>
      <c r="B763" s="4"/>
      <c r="C763" s="4"/>
      <c r="D763" s="4"/>
    </row>
    <row r="764" spans="1:4" ht="15.75" customHeight="1" x14ac:dyDescent="0.3">
      <c r="A764" s="4"/>
      <c r="B764" s="4"/>
      <c r="C764" s="4"/>
      <c r="D764" s="4"/>
    </row>
    <row r="765" spans="1:4" ht="15.75" customHeight="1" x14ac:dyDescent="0.3">
      <c r="A765" s="4"/>
      <c r="B765" s="4"/>
      <c r="C765" s="4"/>
      <c r="D765" s="4"/>
    </row>
    <row r="766" spans="1:4" ht="15.75" customHeight="1" x14ac:dyDescent="0.3">
      <c r="A766" s="4"/>
      <c r="B766" s="4"/>
      <c r="C766" s="4"/>
      <c r="D766" s="4"/>
    </row>
    <row r="767" spans="1:4" ht="15.75" customHeight="1" x14ac:dyDescent="0.3">
      <c r="A767" s="4"/>
      <c r="B767" s="4"/>
      <c r="C767" s="4"/>
      <c r="D767" s="4"/>
    </row>
    <row r="768" spans="1:4" ht="15.75" customHeight="1" x14ac:dyDescent="0.3">
      <c r="A768" s="4"/>
      <c r="B768" s="4"/>
      <c r="C768" s="4"/>
      <c r="D768" s="4"/>
    </row>
    <row r="769" spans="1:4" ht="15.75" customHeight="1" x14ac:dyDescent="0.3">
      <c r="A769" s="4"/>
      <c r="B769" s="4"/>
      <c r="C769" s="4"/>
      <c r="D769" s="4"/>
    </row>
    <row r="770" spans="1:4" ht="15.75" customHeight="1" x14ac:dyDescent="0.3">
      <c r="A770" s="4"/>
      <c r="B770" s="4"/>
      <c r="C770" s="4"/>
      <c r="D770" s="4"/>
    </row>
    <row r="771" spans="1:4" ht="15.75" customHeight="1" x14ac:dyDescent="0.3">
      <c r="A771" s="4"/>
      <c r="B771" s="4"/>
      <c r="C771" s="4"/>
      <c r="D771" s="4"/>
    </row>
    <row r="772" spans="1:4" ht="15.75" customHeight="1" x14ac:dyDescent="0.3">
      <c r="A772" s="4"/>
      <c r="B772" s="4"/>
      <c r="C772" s="4"/>
      <c r="D772" s="4"/>
    </row>
    <row r="773" spans="1:4" ht="15.75" customHeight="1" x14ac:dyDescent="0.3">
      <c r="A773" s="4"/>
      <c r="B773" s="4"/>
      <c r="C773" s="4"/>
      <c r="D773" s="4"/>
    </row>
    <row r="774" spans="1:4" ht="15.75" customHeight="1" x14ac:dyDescent="0.3">
      <c r="A774" s="4"/>
      <c r="B774" s="4"/>
      <c r="C774" s="4"/>
      <c r="D774" s="4"/>
    </row>
    <row r="775" spans="1:4" ht="15.75" customHeight="1" x14ac:dyDescent="0.3">
      <c r="A775" s="4"/>
      <c r="B775" s="4"/>
      <c r="C775" s="4"/>
      <c r="D775" s="4"/>
    </row>
    <row r="776" spans="1:4" ht="15.75" customHeight="1" x14ac:dyDescent="0.3">
      <c r="A776" s="4"/>
      <c r="B776" s="4"/>
      <c r="C776" s="4"/>
      <c r="D776" s="4"/>
    </row>
    <row r="777" spans="1:4" ht="15.75" customHeight="1" x14ac:dyDescent="0.3">
      <c r="A777" s="4"/>
      <c r="B777" s="4"/>
      <c r="C777" s="4"/>
      <c r="D777" s="4"/>
    </row>
    <row r="778" spans="1:4" ht="15.75" customHeight="1" x14ac:dyDescent="0.3">
      <c r="A778" s="4"/>
      <c r="B778" s="4"/>
      <c r="C778" s="4"/>
      <c r="D778" s="4"/>
    </row>
    <row r="779" spans="1:4" ht="15.75" customHeight="1" x14ac:dyDescent="0.3">
      <c r="A779" s="4"/>
      <c r="B779" s="4"/>
      <c r="C779" s="4"/>
      <c r="D779" s="4"/>
    </row>
    <row r="780" spans="1:4" ht="15.75" customHeight="1" x14ac:dyDescent="0.3">
      <c r="A780" s="4"/>
      <c r="B780" s="4"/>
      <c r="C780" s="4"/>
      <c r="D780" s="4"/>
    </row>
    <row r="781" spans="1:4" ht="15.75" customHeight="1" x14ac:dyDescent="0.3">
      <c r="A781" s="4"/>
      <c r="B781" s="4"/>
      <c r="C781" s="4"/>
      <c r="D781" s="4"/>
    </row>
    <row r="782" spans="1:4" ht="15.75" customHeight="1" x14ac:dyDescent="0.3">
      <c r="A782" s="4"/>
      <c r="B782" s="4"/>
      <c r="C782" s="4"/>
      <c r="D782" s="4"/>
    </row>
    <row r="783" spans="1:4" ht="15.75" customHeight="1" x14ac:dyDescent="0.3">
      <c r="A783" s="4"/>
      <c r="B783" s="4"/>
      <c r="C783" s="4"/>
      <c r="D783" s="4"/>
    </row>
    <row r="784" spans="1:4" ht="15.75" customHeight="1" x14ac:dyDescent="0.3">
      <c r="A784" s="4"/>
      <c r="B784" s="4"/>
      <c r="C784" s="4"/>
      <c r="D784" s="4"/>
    </row>
    <row r="785" spans="1:4" ht="15.75" customHeight="1" x14ac:dyDescent="0.3">
      <c r="A785" s="4"/>
      <c r="B785" s="4"/>
      <c r="C785" s="4"/>
      <c r="D785" s="4"/>
    </row>
    <row r="786" spans="1:4" ht="15.75" customHeight="1" x14ac:dyDescent="0.3">
      <c r="A786" s="4"/>
      <c r="B786" s="4"/>
      <c r="C786" s="4"/>
      <c r="D786" s="4"/>
    </row>
    <row r="787" spans="1:4" ht="15.75" customHeight="1" x14ac:dyDescent="0.3">
      <c r="A787" s="4"/>
      <c r="B787" s="4"/>
      <c r="C787" s="4"/>
      <c r="D787" s="4"/>
    </row>
    <row r="788" spans="1:4" ht="15.75" customHeight="1" x14ac:dyDescent="0.3">
      <c r="A788" s="4"/>
      <c r="B788" s="4"/>
      <c r="C788" s="4"/>
      <c r="D788" s="4"/>
    </row>
    <row r="789" spans="1:4" ht="15.75" customHeight="1" x14ac:dyDescent="0.3">
      <c r="A789" s="4"/>
      <c r="B789" s="4"/>
      <c r="C789" s="4"/>
      <c r="D789" s="4"/>
    </row>
    <row r="790" spans="1:4" ht="15.75" customHeight="1" x14ac:dyDescent="0.3">
      <c r="A790" s="4"/>
      <c r="B790" s="4"/>
      <c r="C790" s="4"/>
      <c r="D790" s="4"/>
    </row>
    <row r="791" spans="1:4" ht="15.75" customHeight="1" x14ac:dyDescent="0.3">
      <c r="A791" s="4"/>
      <c r="B791" s="4"/>
      <c r="C791" s="4"/>
      <c r="D791" s="4"/>
    </row>
    <row r="792" spans="1:4" ht="15.75" customHeight="1" x14ac:dyDescent="0.3">
      <c r="A792" s="4"/>
      <c r="B792" s="4"/>
      <c r="C792" s="4"/>
      <c r="D792" s="4"/>
    </row>
    <row r="793" spans="1:4" ht="15.75" customHeight="1" x14ac:dyDescent="0.3">
      <c r="A793" s="4"/>
      <c r="B793" s="4"/>
      <c r="C793" s="4"/>
      <c r="D793" s="4"/>
    </row>
    <row r="794" spans="1:4" ht="15.75" customHeight="1" x14ac:dyDescent="0.3">
      <c r="A794" s="4"/>
      <c r="B794" s="4"/>
      <c r="C794" s="4"/>
      <c r="D794" s="4"/>
    </row>
    <row r="795" spans="1:4" ht="15.75" customHeight="1" x14ac:dyDescent="0.3">
      <c r="A795" s="4"/>
      <c r="B795" s="4"/>
      <c r="C795" s="4"/>
      <c r="D795" s="4"/>
    </row>
    <row r="796" spans="1:4" ht="15.75" customHeight="1" x14ac:dyDescent="0.3">
      <c r="A796" s="4"/>
      <c r="B796" s="4"/>
      <c r="C796" s="4"/>
      <c r="D796" s="4"/>
    </row>
    <row r="797" spans="1:4" ht="15.75" customHeight="1" x14ac:dyDescent="0.3">
      <c r="A797" s="4"/>
      <c r="B797" s="4"/>
      <c r="C797" s="4"/>
      <c r="D797" s="4"/>
    </row>
    <row r="798" spans="1:4" ht="15.75" customHeight="1" x14ac:dyDescent="0.3">
      <c r="A798" s="4"/>
      <c r="B798" s="4"/>
      <c r="C798" s="4"/>
      <c r="D798" s="4"/>
    </row>
    <row r="799" spans="1:4" ht="15.75" customHeight="1" x14ac:dyDescent="0.3">
      <c r="A799" s="4"/>
      <c r="B799" s="4"/>
      <c r="C799" s="4"/>
      <c r="D799" s="4"/>
    </row>
    <row r="800" spans="1:4" ht="15.75" customHeight="1" x14ac:dyDescent="0.3">
      <c r="A800" s="4"/>
      <c r="B800" s="4"/>
      <c r="C800" s="4"/>
      <c r="D800" s="4"/>
    </row>
    <row r="801" spans="1:4" ht="15.75" customHeight="1" x14ac:dyDescent="0.3">
      <c r="A801" s="4"/>
      <c r="B801" s="4"/>
      <c r="C801" s="4"/>
      <c r="D801" s="4"/>
    </row>
    <row r="802" spans="1:4" ht="15.75" customHeight="1" x14ac:dyDescent="0.3">
      <c r="A802" s="4"/>
      <c r="B802" s="4"/>
      <c r="C802" s="4"/>
      <c r="D802" s="4"/>
    </row>
    <row r="803" spans="1:4" ht="15.75" customHeight="1" x14ac:dyDescent="0.3">
      <c r="A803" s="4"/>
      <c r="B803" s="4"/>
      <c r="C803" s="4"/>
      <c r="D803" s="4"/>
    </row>
    <row r="804" spans="1:4" ht="15.75" customHeight="1" x14ac:dyDescent="0.3">
      <c r="A804" s="4"/>
      <c r="B804" s="4"/>
      <c r="C804" s="4"/>
      <c r="D804" s="4"/>
    </row>
    <row r="805" spans="1:4" ht="15.75" customHeight="1" x14ac:dyDescent="0.3">
      <c r="A805" s="4"/>
      <c r="B805" s="4"/>
      <c r="C805" s="4"/>
      <c r="D805" s="4"/>
    </row>
    <row r="806" spans="1:4" ht="15.75" customHeight="1" x14ac:dyDescent="0.3">
      <c r="A806" s="4"/>
      <c r="B806" s="4"/>
      <c r="C806" s="4"/>
      <c r="D806" s="4"/>
    </row>
    <row r="807" spans="1:4" ht="15.75" customHeight="1" x14ac:dyDescent="0.3">
      <c r="A807" s="4"/>
      <c r="B807" s="4"/>
      <c r="C807" s="4"/>
      <c r="D807" s="4"/>
    </row>
    <row r="808" spans="1:4" ht="15.75" customHeight="1" x14ac:dyDescent="0.3">
      <c r="A808" s="4"/>
      <c r="B808" s="4"/>
      <c r="C808" s="4"/>
      <c r="D808" s="4"/>
    </row>
    <row r="809" spans="1:4" ht="15.75" customHeight="1" x14ac:dyDescent="0.3">
      <c r="A809" s="4"/>
      <c r="B809" s="4"/>
      <c r="C809" s="4"/>
      <c r="D809" s="4"/>
    </row>
    <row r="810" spans="1:4" ht="15.75" customHeight="1" x14ac:dyDescent="0.3">
      <c r="A810" s="4"/>
      <c r="B810" s="4"/>
      <c r="C810" s="4"/>
      <c r="D810" s="4"/>
    </row>
    <row r="811" spans="1:4" ht="15.75" customHeight="1" x14ac:dyDescent="0.3">
      <c r="A811" s="4"/>
      <c r="B811" s="4"/>
      <c r="C811" s="4"/>
      <c r="D811" s="4"/>
    </row>
    <row r="812" spans="1:4" ht="15.75" customHeight="1" x14ac:dyDescent="0.3">
      <c r="A812" s="4"/>
      <c r="B812" s="4"/>
      <c r="C812" s="4"/>
      <c r="D812" s="4"/>
    </row>
    <row r="813" spans="1:4" ht="15.75" customHeight="1" x14ac:dyDescent="0.3">
      <c r="A813" s="4"/>
      <c r="B813" s="4"/>
      <c r="C813" s="4"/>
      <c r="D813" s="4"/>
    </row>
    <row r="814" spans="1:4" ht="15.75" customHeight="1" x14ac:dyDescent="0.3">
      <c r="A814" s="4"/>
      <c r="B814" s="4"/>
      <c r="C814" s="4"/>
      <c r="D814" s="4"/>
    </row>
    <row r="815" spans="1:4" ht="15.75" customHeight="1" x14ac:dyDescent="0.3">
      <c r="A815" s="4"/>
      <c r="B815" s="4"/>
      <c r="C815" s="4"/>
      <c r="D815" s="4"/>
    </row>
    <row r="816" spans="1:4" ht="15.75" customHeight="1" x14ac:dyDescent="0.3">
      <c r="A816" s="4"/>
      <c r="B816" s="4"/>
      <c r="C816" s="4"/>
      <c r="D816" s="4"/>
    </row>
    <row r="817" spans="1:4" ht="15.75" customHeight="1" x14ac:dyDescent="0.3">
      <c r="A817" s="4"/>
      <c r="B817" s="4"/>
      <c r="C817" s="4"/>
      <c r="D817" s="4"/>
    </row>
    <row r="818" spans="1:4" ht="15.75" customHeight="1" x14ac:dyDescent="0.3">
      <c r="A818" s="4"/>
      <c r="B818" s="4"/>
      <c r="C818" s="4"/>
      <c r="D818" s="4"/>
    </row>
    <row r="819" spans="1:4" ht="15.75" customHeight="1" x14ac:dyDescent="0.3">
      <c r="A819" s="4"/>
      <c r="B819" s="4"/>
      <c r="C819" s="4"/>
      <c r="D819" s="4"/>
    </row>
    <row r="820" spans="1:4" ht="15.75" customHeight="1" x14ac:dyDescent="0.3">
      <c r="A820" s="4"/>
      <c r="B820" s="4"/>
      <c r="C820" s="4"/>
      <c r="D820" s="4"/>
    </row>
    <row r="821" spans="1:4" ht="15.75" customHeight="1" x14ac:dyDescent="0.3">
      <c r="A821" s="4"/>
      <c r="B821" s="4"/>
      <c r="C821" s="4"/>
      <c r="D821" s="4"/>
    </row>
    <row r="822" spans="1:4" ht="15.75" customHeight="1" x14ac:dyDescent="0.3">
      <c r="A822" s="4"/>
      <c r="B822" s="4"/>
      <c r="C822" s="4"/>
      <c r="D822" s="4"/>
    </row>
    <row r="823" spans="1:4" ht="15.75" customHeight="1" x14ac:dyDescent="0.3">
      <c r="A823" s="4"/>
      <c r="B823" s="4"/>
      <c r="C823" s="4"/>
      <c r="D823" s="4"/>
    </row>
    <row r="824" spans="1:4" ht="15.75" customHeight="1" x14ac:dyDescent="0.3">
      <c r="A824" s="4"/>
      <c r="B824" s="4"/>
      <c r="C824" s="4"/>
      <c r="D824" s="4"/>
    </row>
    <row r="825" spans="1:4" ht="15.75" customHeight="1" x14ac:dyDescent="0.3">
      <c r="A825" s="4"/>
      <c r="B825" s="4"/>
      <c r="C825" s="4"/>
      <c r="D825" s="4"/>
    </row>
    <row r="826" spans="1:4" ht="15.75" customHeight="1" x14ac:dyDescent="0.3">
      <c r="A826" s="4"/>
      <c r="B826" s="4"/>
      <c r="C826" s="4"/>
      <c r="D826" s="4"/>
    </row>
    <row r="827" spans="1:4" ht="15.75" customHeight="1" x14ac:dyDescent="0.3">
      <c r="A827" s="4"/>
      <c r="B827" s="4"/>
      <c r="C827" s="4"/>
      <c r="D827" s="4"/>
    </row>
    <row r="828" spans="1:4" ht="15.75" customHeight="1" x14ac:dyDescent="0.3">
      <c r="A828" s="4"/>
      <c r="B828" s="4"/>
      <c r="C828" s="4"/>
      <c r="D828" s="4"/>
    </row>
    <row r="829" spans="1:4" ht="15.75" customHeight="1" x14ac:dyDescent="0.3">
      <c r="A829" s="4"/>
      <c r="B829" s="4"/>
      <c r="C829" s="4"/>
      <c r="D829" s="4"/>
    </row>
    <row r="830" spans="1:4" ht="15.75" customHeight="1" x14ac:dyDescent="0.3">
      <c r="A830" s="4"/>
      <c r="B830" s="4"/>
      <c r="C830" s="4"/>
      <c r="D830" s="4"/>
    </row>
    <row r="831" spans="1:4" ht="15.75" customHeight="1" x14ac:dyDescent="0.3">
      <c r="A831" s="4"/>
      <c r="B831" s="4"/>
      <c r="C831" s="4"/>
      <c r="D831" s="4"/>
    </row>
    <row r="832" spans="1:4" ht="15.75" customHeight="1" x14ac:dyDescent="0.3">
      <c r="A832" s="4"/>
      <c r="B832" s="4"/>
      <c r="C832" s="4"/>
      <c r="D832" s="4"/>
    </row>
    <row r="833" spans="1:4" ht="15.75" customHeight="1" x14ac:dyDescent="0.3">
      <c r="A833" s="4"/>
      <c r="B833" s="4"/>
      <c r="C833" s="4"/>
      <c r="D833" s="4"/>
    </row>
    <row r="834" spans="1:4" ht="15.75" customHeight="1" x14ac:dyDescent="0.3">
      <c r="A834" s="4"/>
      <c r="B834" s="4"/>
      <c r="C834" s="4"/>
      <c r="D834" s="4"/>
    </row>
    <row r="835" spans="1:4" ht="15.75" customHeight="1" x14ac:dyDescent="0.3">
      <c r="A835" s="4"/>
      <c r="B835" s="4"/>
      <c r="C835" s="4"/>
      <c r="D835" s="4"/>
    </row>
    <row r="836" spans="1:4" ht="15.75" customHeight="1" x14ac:dyDescent="0.3">
      <c r="A836" s="4"/>
      <c r="B836" s="4"/>
      <c r="C836" s="4"/>
      <c r="D836" s="4"/>
    </row>
    <row r="837" spans="1:4" ht="15.75" customHeight="1" x14ac:dyDescent="0.3">
      <c r="A837" s="4"/>
      <c r="B837" s="4"/>
      <c r="C837" s="4"/>
      <c r="D837" s="4"/>
    </row>
    <row r="838" spans="1:4" ht="15.75" customHeight="1" x14ac:dyDescent="0.3">
      <c r="A838" s="4"/>
      <c r="B838" s="4"/>
      <c r="C838" s="4"/>
      <c r="D838" s="4"/>
    </row>
    <row r="839" spans="1:4" ht="15.75" customHeight="1" x14ac:dyDescent="0.3">
      <c r="A839" s="4"/>
      <c r="B839" s="4"/>
      <c r="C839" s="4"/>
      <c r="D839" s="4"/>
    </row>
    <row r="840" spans="1:4" ht="15.75" customHeight="1" x14ac:dyDescent="0.3">
      <c r="A840" s="4"/>
      <c r="B840" s="4"/>
      <c r="C840" s="4"/>
      <c r="D840" s="4"/>
    </row>
    <row r="841" spans="1:4" ht="15.75" customHeight="1" x14ac:dyDescent="0.3">
      <c r="A841" s="4"/>
      <c r="B841" s="4"/>
      <c r="C841" s="4"/>
      <c r="D841" s="4"/>
    </row>
    <row r="842" spans="1:4" ht="15.75" customHeight="1" x14ac:dyDescent="0.3">
      <c r="A842" s="4"/>
      <c r="B842" s="4"/>
      <c r="C842" s="4"/>
      <c r="D842" s="4"/>
    </row>
    <row r="843" spans="1:4" ht="15.75" customHeight="1" x14ac:dyDescent="0.3">
      <c r="A843" s="4"/>
      <c r="B843" s="4"/>
      <c r="C843" s="4"/>
      <c r="D843" s="4"/>
    </row>
    <row r="844" spans="1:4" ht="15.75" customHeight="1" x14ac:dyDescent="0.3">
      <c r="A844" s="4"/>
      <c r="B844" s="4"/>
      <c r="C844" s="4"/>
      <c r="D844" s="4"/>
    </row>
    <row r="845" spans="1:4" ht="15.75" customHeight="1" x14ac:dyDescent="0.3">
      <c r="A845" s="4"/>
      <c r="B845" s="4"/>
      <c r="C845" s="4"/>
      <c r="D845" s="4"/>
    </row>
    <row r="846" spans="1:4" ht="15.75" customHeight="1" x14ac:dyDescent="0.3">
      <c r="A846" s="4"/>
      <c r="B846" s="4"/>
      <c r="C846" s="4"/>
      <c r="D846" s="4"/>
    </row>
    <row r="847" spans="1:4" ht="15.75" customHeight="1" x14ac:dyDescent="0.3">
      <c r="A847" s="4"/>
      <c r="B847" s="4"/>
      <c r="C847" s="4"/>
      <c r="D847" s="4"/>
    </row>
    <row r="848" spans="1:4" ht="15.75" customHeight="1" x14ac:dyDescent="0.3">
      <c r="A848" s="4"/>
      <c r="B848" s="4"/>
      <c r="C848" s="4"/>
      <c r="D848" s="4"/>
    </row>
    <row r="849" spans="1:4" ht="15.75" customHeight="1" x14ac:dyDescent="0.3">
      <c r="A849" s="4"/>
      <c r="B849" s="4"/>
      <c r="C849" s="4"/>
      <c r="D849" s="4"/>
    </row>
    <row r="850" spans="1:4" ht="15.75" customHeight="1" x14ac:dyDescent="0.3">
      <c r="A850" s="4"/>
      <c r="B850" s="4"/>
      <c r="C850" s="4"/>
      <c r="D850" s="4"/>
    </row>
    <row r="851" spans="1:4" ht="15.75" customHeight="1" x14ac:dyDescent="0.3">
      <c r="A851" s="4"/>
      <c r="B851" s="4"/>
      <c r="C851" s="4"/>
      <c r="D851" s="4"/>
    </row>
    <row r="852" spans="1:4" ht="15.75" customHeight="1" x14ac:dyDescent="0.3">
      <c r="A852" s="4"/>
      <c r="B852" s="4"/>
      <c r="C852" s="4"/>
      <c r="D852" s="4"/>
    </row>
    <row r="853" spans="1:4" ht="15.75" customHeight="1" x14ac:dyDescent="0.3">
      <c r="A853" s="4"/>
      <c r="B853" s="4"/>
      <c r="C853" s="4"/>
      <c r="D853" s="4"/>
    </row>
    <row r="854" spans="1:4" ht="15.75" customHeight="1" x14ac:dyDescent="0.3">
      <c r="A854" s="4"/>
      <c r="B854" s="4"/>
      <c r="C854" s="4"/>
      <c r="D854" s="4"/>
    </row>
    <row r="855" spans="1:4" ht="15.75" customHeight="1" x14ac:dyDescent="0.3">
      <c r="A855" s="4"/>
      <c r="B855" s="4"/>
      <c r="C855" s="4"/>
      <c r="D855" s="4"/>
    </row>
    <row r="856" spans="1:4" ht="15.75" customHeight="1" x14ac:dyDescent="0.3">
      <c r="A856" s="4"/>
      <c r="B856" s="4"/>
      <c r="C856" s="4"/>
      <c r="D856" s="4"/>
    </row>
    <row r="857" spans="1:4" ht="15.75" customHeight="1" x14ac:dyDescent="0.3">
      <c r="A857" s="4"/>
      <c r="B857" s="4"/>
      <c r="C857" s="4"/>
      <c r="D857" s="4"/>
    </row>
    <row r="858" spans="1:4" ht="15.75" customHeight="1" x14ac:dyDescent="0.3">
      <c r="A858" s="4"/>
      <c r="B858" s="4"/>
      <c r="C858" s="4"/>
      <c r="D858" s="4"/>
    </row>
    <row r="859" spans="1:4" ht="15.75" customHeight="1" x14ac:dyDescent="0.3">
      <c r="A859" s="4"/>
      <c r="B859" s="4"/>
      <c r="C859" s="4"/>
      <c r="D859" s="4"/>
    </row>
    <row r="860" spans="1:4" ht="15.75" customHeight="1" x14ac:dyDescent="0.3">
      <c r="A860" s="4"/>
      <c r="B860" s="4"/>
      <c r="C860" s="4"/>
      <c r="D860" s="4"/>
    </row>
    <row r="861" spans="1:4" ht="15.75" customHeight="1" x14ac:dyDescent="0.3">
      <c r="A861" s="4"/>
      <c r="B861" s="4"/>
      <c r="C861" s="4"/>
      <c r="D861" s="4"/>
    </row>
    <row r="862" spans="1:4" ht="15.75" customHeight="1" x14ac:dyDescent="0.3">
      <c r="A862" s="4"/>
      <c r="B862" s="4"/>
      <c r="C862" s="4"/>
      <c r="D862" s="4"/>
    </row>
    <row r="863" spans="1:4" ht="15.75" customHeight="1" x14ac:dyDescent="0.3">
      <c r="A863" s="4"/>
      <c r="B863" s="4"/>
      <c r="C863" s="4"/>
      <c r="D863" s="4"/>
    </row>
    <row r="864" spans="1:4" ht="15.75" customHeight="1" x14ac:dyDescent="0.3">
      <c r="A864" s="4"/>
      <c r="B864" s="4"/>
      <c r="C864" s="4"/>
      <c r="D864" s="4"/>
    </row>
    <row r="865" spans="1:4" ht="15.75" customHeight="1" x14ac:dyDescent="0.3">
      <c r="A865" s="4"/>
      <c r="B865" s="4"/>
      <c r="C865" s="4"/>
      <c r="D865" s="4"/>
    </row>
    <row r="866" spans="1:4" ht="15.75" customHeight="1" x14ac:dyDescent="0.3">
      <c r="A866" s="4"/>
      <c r="B866" s="4"/>
      <c r="C866" s="4"/>
      <c r="D866" s="4"/>
    </row>
    <row r="867" spans="1:4" ht="15.75" customHeight="1" x14ac:dyDescent="0.3">
      <c r="A867" s="4"/>
      <c r="B867" s="4"/>
      <c r="C867" s="4"/>
      <c r="D867" s="4"/>
    </row>
    <row r="868" spans="1:4" ht="15.75" customHeight="1" x14ac:dyDescent="0.3">
      <c r="A868" s="4"/>
      <c r="B868" s="4"/>
      <c r="C868" s="4"/>
      <c r="D868" s="4"/>
    </row>
    <row r="869" spans="1:4" ht="15.75" customHeight="1" x14ac:dyDescent="0.3">
      <c r="A869" s="4"/>
      <c r="B869" s="4"/>
      <c r="C869" s="4"/>
      <c r="D869" s="4"/>
    </row>
    <row r="870" spans="1:4" ht="15.75" customHeight="1" x14ac:dyDescent="0.3">
      <c r="A870" s="4"/>
      <c r="B870" s="4"/>
      <c r="C870" s="4"/>
      <c r="D870" s="4"/>
    </row>
    <row r="871" spans="1:4" ht="15.75" customHeight="1" x14ac:dyDescent="0.3">
      <c r="A871" s="4"/>
      <c r="B871" s="4"/>
      <c r="C871" s="4"/>
      <c r="D871" s="4"/>
    </row>
    <row r="872" spans="1:4" ht="15.75" customHeight="1" x14ac:dyDescent="0.3">
      <c r="A872" s="4"/>
      <c r="B872" s="4"/>
      <c r="C872" s="4"/>
      <c r="D872" s="4"/>
    </row>
    <row r="873" spans="1:4" ht="15.75" customHeight="1" x14ac:dyDescent="0.3">
      <c r="A873" s="4"/>
      <c r="B873" s="4"/>
      <c r="C873" s="4"/>
      <c r="D873" s="4"/>
    </row>
    <row r="874" spans="1:4" ht="15.75" customHeight="1" x14ac:dyDescent="0.3">
      <c r="A874" s="4"/>
      <c r="B874" s="4"/>
      <c r="C874" s="4"/>
      <c r="D874" s="4"/>
    </row>
    <row r="875" spans="1:4" ht="15.75" customHeight="1" x14ac:dyDescent="0.3">
      <c r="A875" s="4"/>
      <c r="B875" s="4"/>
      <c r="C875" s="4"/>
      <c r="D875" s="4"/>
    </row>
    <row r="876" spans="1:4" ht="15.75" customHeight="1" x14ac:dyDescent="0.3">
      <c r="A876" s="4"/>
      <c r="B876" s="4"/>
      <c r="C876" s="4"/>
      <c r="D876" s="4"/>
    </row>
    <row r="877" spans="1:4" ht="15.75" customHeight="1" x14ac:dyDescent="0.3">
      <c r="A877" s="4"/>
      <c r="B877" s="4"/>
      <c r="C877" s="4"/>
      <c r="D877" s="4"/>
    </row>
    <row r="878" spans="1:4" ht="15.75" customHeight="1" x14ac:dyDescent="0.3">
      <c r="A878" s="4"/>
      <c r="B878" s="4"/>
      <c r="C878" s="4"/>
      <c r="D878" s="4"/>
    </row>
    <row r="879" spans="1:4" ht="15.75" customHeight="1" x14ac:dyDescent="0.3">
      <c r="A879" s="4"/>
      <c r="B879" s="4"/>
      <c r="C879" s="4"/>
      <c r="D879" s="4"/>
    </row>
    <row r="880" spans="1:4" ht="15.75" customHeight="1" x14ac:dyDescent="0.3">
      <c r="A880" s="4"/>
      <c r="B880" s="4"/>
      <c r="C880" s="4"/>
      <c r="D880" s="4"/>
    </row>
    <row r="881" spans="1:4" ht="15.75" customHeight="1" x14ac:dyDescent="0.3">
      <c r="A881" s="4"/>
      <c r="B881" s="4"/>
      <c r="C881" s="4"/>
      <c r="D881" s="4"/>
    </row>
    <row r="882" spans="1:4" ht="15.75" customHeight="1" x14ac:dyDescent="0.3">
      <c r="A882" s="4"/>
      <c r="B882" s="4"/>
      <c r="C882" s="4"/>
      <c r="D882" s="4"/>
    </row>
    <row r="883" spans="1:4" ht="15.75" customHeight="1" x14ac:dyDescent="0.3">
      <c r="A883" s="4"/>
      <c r="B883" s="4"/>
      <c r="C883" s="4"/>
      <c r="D883" s="4"/>
    </row>
    <row r="884" spans="1:4" ht="15.75" customHeight="1" x14ac:dyDescent="0.3">
      <c r="A884" s="4"/>
      <c r="B884" s="4"/>
      <c r="C884" s="4"/>
      <c r="D884" s="4"/>
    </row>
    <row r="885" spans="1:4" ht="15.75" customHeight="1" x14ac:dyDescent="0.3">
      <c r="A885" s="4"/>
      <c r="B885" s="4"/>
      <c r="C885" s="4"/>
      <c r="D885" s="4"/>
    </row>
    <row r="886" spans="1:4" ht="15.75" customHeight="1" x14ac:dyDescent="0.3">
      <c r="A886" s="4"/>
      <c r="B886" s="4"/>
      <c r="C886" s="4"/>
      <c r="D886" s="4"/>
    </row>
    <row r="887" spans="1:4" ht="15.75" customHeight="1" x14ac:dyDescent="0.3">
      <c r="A887" s="4"/>
      <c r="B887" s="4"/>
      <c r="C887" s="4"/>
      <c r="D887" s="4"/>
    </row>
    <row r="888" spans="1:4" ht="15.75" customHeight="1" x14ac:dyDescent="0.3">
      <c r="A888" s="4"/>
      <c r="B888" s="4"/>
      <c r="C888" s="4"/>
      <c r="D888" s="4"/>
    </row>
    <row r="889" spans="1:4" ht="15.75" customHeight="1" x14ac:dyDescent="0.3">
      <c r="A889" s="4"/>
      <c r="B889" s="4"/>
      <c r="C889" s="4"/>
      <c r="D889" s="4"/>
    </row>
    <row r="890" spans="1:4" ht="15.75" customHeight="1" x14ac:dyDescent="0.3">
      <c r="A890" s="4"/>
      <c r="B890" s="4"/>
      <c r="C890" s="4"/>
      <c r="D890" s="4"/>
    </row>
    <row r="891" spans="1:4" ht="15.75" customHeight="1" x14ac:dyDescent="0.3">
      <c r="A891" s="4"/>
      <c r="B891" s="4"/>
      <c r="C891" s="4"/>
      <c r="D891" s="4"/>
    </row>
    <row r="892" spans="1:4" ht="15.75" customHeight="1" x14ac:dyDescent="0.3">
      <c r="A892" s="4"/>
      <c r="B892" s="4"/>
      <c r="C892" s="4"/>
      <c r="D892" s="4"/>
    </row>
    <row r="893" spans="1:4" ht="15.75" customHeight="1" x14ac:dyDescent="0.3">
      <c r="A893" s="4"/>
      <c r="B893" s="4"/>
      <c r="C893" s="4"/>
      <c r="D893" s="4"/>
    </row>
    <row r="894" spans="1:4" ht="15.75" customHeight="1" x14ac:dyDescent="0.3">
      <c r="A894" s="4"/>
      <c r="B894" s="4"/>
      <c r="C894" s="4"/>
      <c r="D894" s="4"/>
    </row>
    <row r="895" spans="1:4" ht="15.75" customHeight="1" x14ac:dyDescent="0.3">
      <c r="A895" s="4"/>
      <c r="B895" s="4"/>
      <c r="C895" s="4"/>
      <c r="D895" s="4"/>
    </row>
    <row r="896" spans="1:4" ht="15.75" customHeight="1" x14ac:dyDescent="0.3">
      <c r="A896" s="4"/>
      <c r="B896" s="4"/>
      <c r="C896" s="4"/>
      <c r="D896" s="4"/>
    </row>
    <row r="897" spans="1:4" ht="15.75" customHeight="1" x14ac:dyDescent="0.3">
      <c r="A897" s="4"/>
      <c r="B897" s="4"/>
      <c r="C897" s="4"/>
      <c r="D897" s="4"/>
    </row>
    <row r="898" spans="1:4" ht="15.75" customHeight="1" x14ac:dyDescent="0.3">
      <c r="A898" s="4"/>
      <c r="B898" s="4"/>
      <c r="C898" s="4"/>
      <c r="D898" s="4"/>
    </row>
    <row r="899" spans="1:4" ht="15.75" customHeight="1" x14ac:dyDescent="0.3">
      <c r="A899" s="4"/>
      <c r="B899" s="4"/>
      <c r="C899" s="4"/>
      <c r="D899" s="4"/>
    </row>
    <row r="900" spans="1:4" ht="15.75" customHeight="1" x14ac:dyDescent="0.3">
      <c r="A900" s="4"/>
      <c r="B900" s="4"/>
      <c r="C900" s="4"/>
      <c r="D900" s="4"/>
    </row>
    <row r="901" spans="1:4" ht="15.75" customHeight="1" x14ac:dyDescent="0.3">
      <c r="A901" s="4"/>
      <c r="B901" s="4"/>
      <c r="C901" s="4"/>
      <c r="D901" s="4"/>
    </row>
    <row r="902" spans="1:4" ht="15.75" customHeight="1" x14ac:dyDescent="0.3">
      <c r="A902" s="4"/>
      <c r="B902" s="4"/>
      <c r="C902" s="4"/>
      <c r="D902" s="4"/>
    </row>
    <row r="903" spans="1:4" ht="15.75" customHeight="1" x14ac:dyDescent="0.3">
      <c r="A903" s="4"/>
      <c r="B903" s="4"/>
      <c r="C903" s="4"/>
      <c r="D903" s="4"/>
    </row>
    <row r="904" spans="1:4" ht="15.75" customHeight="1" x14ac:dyDescent="0.3">
      <c r="A904" s="4"/>
      <c r="B904" s="4"/>
      <c r="C904" s="4"/>
      <c r="D904" s="4"/>
    </row>
    <row r="905" spans="1:4" ht="15.75" customHeight="1" x14ac:dyDescent="0.3">
      <c r="A905" s="4"/>
      <c r="B905" s="4"/>
      <c r="C905" s="4"/>
      <c r="D905" s="4"/>
    </row>
    <row r="906" spans="1:4" ht="15.75" customHeight="1" x14ac:dyDescent="0.3">
      <c r="A906" s="4"/>
      <c r="B906" s="4"/>
      <c r="C906" s="4"/>
      <c r="D906" s="4"/>
    </row>
    <row r="907" spans="1:4" ht="15.75" customHeight="1" x14ac:dyDescent="0.3">
      <c r="A907" s="4"/>
      <c r="B907" s="4"/>
      <c r="C907" s="4"/>
      <c r="D907" s="4"/>
    </row>
    <row r="908" spans="1:4" ht="15.75" customHeight="1" x14ac:dyDescent="0.3">
      <c r="A908" s="4"/>
      <c r="B908" s="4"/>
      <c r="C908" s="4"/>
      <c r="D908" s="4"/>
    </row>
    <row r="909" spans="1:4" ht="15.75" customHeight="1" x14ac:dyDescent="0.3">
      <c r="A909" s="4"/>
      <c r="B909" s="4"/>
      <c r="C909" s="4"/>
      <c r="D909" s="4"/>
    </row>
    <row r="910" spans="1:4" ht="15.75" customHeight="1" x14ac:dyDescent="0.3">
      <c r="A910" s="4"/>
      <c r="B910" s="4"/>
      <c r="C910" s="4"/>
      <c r="D910" s="4"/>
    </row>
    <row r="911" spans="1:4" ht="15.75" customHeight="1" x14ac:dyDescent="0.3">
      <c r="A911" s="4"/>
      <c r="B911" s="4"/>
      <c r="C911" s="4"/>
      <c r="D911" s="4"/>
    </row>
    <row r="912" spans="1:4" ht="15.75" customHeight="1" x14ac:dyDescent="0.3">
      <c r="A912" s="4"/>
      <c r="B912" s="4"/>
      <c r="C912" s="4"/>
      <c r="D912" s="4"/>
    </row>
    <row r="913" spans="1:4" ht="15.75" customHeight="1" x14ac:dyDescent="0.3">
      <c r="A913" s="4"/>
      <c r="B913" s="4"/>
      <c r="C913" s="4"/>
      <c r="D913" s="4"/>
    </row>
    <row r="914" spans="1:4" ht="15.75" customHeight="1" x14ac:dyDescent="0.3">
      <c r="A914" s="4"/>
      <c r="B914" s="4"/>
      <c r="C914" s="4"/>
      <c r="D914" s="4"/>
    </row>
    <row r="915" spans="1:4" ht="15.75" customHeight="1" x14ac:dyDescent="0.3">
      <c r="A915" s="4"/>
      <c r="B915" s="4"/>
      <c r="C915" s="4"/>
      <c r="D915" s="4"/>
    </row>
    <row r="916" spans="1:4" ht="15.75" customHeight="1" x14ac:dyDescent="0.3">
      <c r="A916" s="4"/>
      <c r="B916" s="4"/>
      <c r="C916" s="4"/>
      <c r="D916" s="4"/>
    </row>
    <row r="917" spans="1:4" ht="15.75" customHeight="1" x14ac:dyDescent="0.3">
      <c r="A917" s="4"/>
      <c r="B917" s="4"/>
      <c r="C917" s="4"/>
      <c r="D917" s="4"/>
    </row>
    <row r="918" spans="1:4" ht="15.75" customHeight="1" x14ac:dyDescent="0.3">
      <c r="A918" s="4"/>
      <c r="B918" s="4"/>
      <c r="C918" s="4"/>
      <c r="D918" s="4"/>
    </row>
    <row r="919" spans="1:4" ht="15.75" customHeight="1" x14ac:dyDescent="0.3">
      <c r="A919" s="4"/>
      <c r="B919" s="4"/>
      <c r="C919" s="4"/>
      <c r="D919" s="4"/>
    </row>
    <row r="920" spans="1:4" ht="15.75" customHeight="1" x14ac:dyDescent="0.3">
      <c r="A920" s="4"/>
      <c r="B920" s="4"/>
      <c r="C920" s="4"/>
      <c r="D920" s="4"/>
    </row>
    <row r="921" spans="1:4" ht="15.75" customHeight="1" x14ac:dyDescent="0.3">
      <c r="A921" s="4"/>
      <c r="B921" s="4"/>
      <c r="C921" s="4"/>
      <c r="D921" s="4"/>
    </row>
    <row r="922" spans="1:4" ht="15.75" customHeight="1" x14ac:dyDescent="0.3">
      <c r="A922" s="4"/>
      <c r="B922" s="4"/>
      <c r="C922" s="4"/>
      <c r="D922" s="4"/>
    </row>
    <row r="923" spans="1:4" ht="15.75" customHeight="1" x14ac:dyDescent="0.3">
      <c r="A923" s="4"/>
      <c r="B923" s="4"/>
      <c r="C923" s="4"/>
      <c r="D923" s="4"/>
    </row>
    <row r="924" spans="1:4" ht="15.75" customHeight="1" x14ac:dyDescent="0.3">
      <c r="A924" s="4"/>
      <c r="B924" s="4"/>
      <c r="C924" s="4"/>
      <c r="D924" s="4"/>
    </row>
    <row r="925" spans="1:4" ht="15.75" customHeight="1" x14ac:dyDescent="0.3">
      <c r="A925" s="4"/>
      <c r="B925" s="4"/>
      <c r="C925" s="4"/>
      <c r="D925" s="4"/>
    </row>
    <row r="926" spans="1:4" ht="15.75" customHeight="1" x14ac:dyDescent="0.3">
      <c r="A926" s="4"/>
      <c r="B926" s="4"/>
      <c r="C926" s="4"/>
      <c r="D926" s="4"/>
    </row>
    <row r="927" spans="1:4" ht="15.75" customHeight="1" x14ac:dyDescent="0.3">
      <c r="A927" s="4"/>
      <c r="B927" s="4"/>
      <c r="C927" s="4"/>
      <c r="D927" s="4"/>
    </row>
    <row r="928" spans="1:4" ht="15.75" customHeight="1" x14ac:dyDescent="0.3">
      <c r="A928" s="4"/>
      <c r="B928" s="4"/>
      <c r="C928" s="4"/>
      <c r="D928" s="4"/>
    </row>
    <row r="929" spans="1:4" ht="15.75" customHeight="1" x14ac:dyDescent="0.3">
      <c r="A929" s="4"/>
      <c r="B929" s="4"/>
      <c r="C929" s="4"/>
      <c r="D929" s="4"/>
    </row>
    <row r="930" spans="1:4" ht="15.75" customHeight="1" x14ac:dyDescent="0.3">
      <c r="A930" s="4"/>
      <c r="B930" s="4"/>
      <c r="C930" s="4"/>
      <c r="D930" s="4"/>
    </row>
    <row r="931" spans="1:4" ht="15.75" customHeight="1" x14ac:dyDescent="0.3">
      <c r="A931" s="4"/>
      <c r="B931" s="4"/>
      <c r="C931" s="4"/>
      <c r="D931" s="4"/>
    </row>
    <row r="932" spans="1:4" ht="15.75" customHeight="1" x14ac:dyDescent="0.3">
      <c r="A932" s="4"/>
      <c r="B932" s="4"/>
      <c r="C932" s="4"/>
      <c r="D932" s="4"/>
    </row>
    <row r="933" spans="1:4" ht="15.75" customHeight="1" x14ac:dyDescent="0.3">
      <c r="A933" s="4"/>
      <c r="B933" s="4"/>
      <c r="C933" s="4"/>
      <c r="D933" s="4"/>
    </row>
    <row r="934" spans="1:4" ht="15.75" customHeight="1" x14ac:dyDescent="0.3">
      <c r="A934" s="4"/>
      <c r="B934" s="4"/>
      <c r="C934" s="4"/>
      <c r="D934" s="4"/>
    </row>
    <row r="935" spans="1:4" ht="15.75" customHeight="1" x14ac:dyDescent="0.3">
      <c r="A935" s="4"/>
      <c r="B935" s="4"/>
      <c r="C935" s="4"/>
      <c r="D935" s="4"/>
    </row>
    <row r="936" spans="1:4" ht="15.75" customHeight="1" x14ac:dyDescent="0.3">
      <c r="A936" s="4"/>
      <c r="B936" s="4"/>
      <c r="C936" s="4"/>
      <c r="D936" s="4"/>
    </row>
    <row r="937" spans="1:4" ht="15.75" customHeight="1" x14ac:dyDescent="0.3">
      <c r="A937" s="4"/>
      <c r="B937" s="4"/>
      <c r="C937" s="4"/>
      <c r="D937" s="4"/>
    </row>
    <row r="938" spans="1:4" ht="15.75" customHeight="1" x14ac:dyDescent="0.3">
      <c r="A938" s="4"/>
      <c r="B938" s="4"/>
      <c r="C938" s="4"/>
      <c r="D938" s="4"/>
    </row>
    <row r="939" spans="1:4" ht="15.75" customHeight="1" x14ac:dyDescent="0.3">
      <c r="A939" s="4"/>
      <c r="B939" s="4"/>
      <c r="C939" s="4"/>
      <c r="D939" s="4"/>
    </row>
    <row r="940" spans="1:4" ht="15.75" customHeight="1" x14ac:dyDescent="0.3">
      <c r="A940" s="4"/>
      <c r="B940" s="4"/>
      <c r="C940" s="4"/>
      <c r="D940" s="4"/>
    </row>
    <row r="941" spans="1:4" ht="15.75" customHeight="1" x14ac:dyDescent="0.3">
      <c r="A941" s="4"/>
      <c r="B941" s="4"/>
      <c r="C941" s="4"/>
      <c r="D941" s="4"/>
    </row>
    <row r="942" spans="1:4" ht="15.75" customHeight="1" x14ac:dyDescent="0.3">
      <c r="A942" s="4"/>
      <c r="B942" s="4"/>
      <c r="C942" s="4"/>
      <c r="D942" s="4"/>
    </row>
    <row r="943" spans="1:4" ht="15.75" customHeight="1" x14ac:dyDescent="0.3">
      <c r="A943" s="4"/>
      <c r="B943" s="4"/>
      <c r="C943" s="4"/>
      <c r="D943" s="4"/>
    </row>
    <row r="944" spans="1:4" ht="15.75" customHeight="1" x14ac:dyDescent="0.3">
      <c r="A944" s="4"/>
      <c r="B944" s="4"/>
      <c r="C944" s="4"/>
      <c r="D944" s="4"/>
    </row>
    <row r="945" spans="1:4" ht="15.75" customHeight="1" x14ac:dyDescent="0.3">
      <c r="A945" s="4"/>
      <c r="B945" s="4"/>
      <c r="C945" s="4"/>
      <c r="D945" s="4"/>
    </row>
    <row r="946" spans="1:4" ht="15.75" customHeight="1" x14ac:dyDescent="0.3">
      <c r="A946" s="4"/>
      <c r="B946" s="4"/>
      <c r="C946" s="4"/>
      <c r="D946" s="4"/>
    </row>
    <row r="947" spans="1:4" ht="15.75" customHeight="1" x14ac:dyDescent="0.3">
      <c r="A947" s="4"/>
      <c r="B947" s="4"/>
      <c r="C947" s="4"/>
      <c r="D947" s="4"/>
    </row>
    <row r="948" spans="1:4" ht="15.75" customHeight="1" x14ac:dyDescent="0.3">
      <c r="A948" s="4"/>
      <c r="B948" s="4"/>
      <c r="C948" s="4"/>
      <c r="D948" s="4"/>
    </row>
    <row r="949" spans="1:4" ht="15.75" customHeight="1" x14ac:dyDescent="0.3">
      <c r="A949" s="4"/>
      <c r="B949" s="4"/>
      <c r="C949" s="4"/>
      <c r="D949" s="4"/>
    </row>
    <row r="950" spans="1:4" ht="15.75" customHeight="1" x14ac:dyDescent="0.3">
      <c r="A950" s="4"/>
      <c r="B950" s="4"/>
      <c r="C950" s="4"/>
      <c r="D950" s="4"/>
    </row>
    <row r="951" spans="1:4" ht="15.75" customHeight="1" x14ac:dyDescent="0.3">
      <c r="A951" s="4"/>
      <c r="B951" s="4"/>
      <c r="C951" s="4"/>
      <c r="D951" s="4"/>
    </row>
    <row r="952" spans="1:4" ht="15.75" customHeight="1" x14ac:dyDescent="0.3">
      <c r="A952" s="4"/>
      <c r="B952" s="4"/>
      <c r="C952" s="4"/>
      <c r="D952" s="4"/>
    </row>
    <row r="953" spans="1:4" ht="15.75" customHeight="1" x14ac:dyDescent="0.3">
      <c r="A953" s="4"/>
      <c r="B953" s="4"/>
      <c r="C953" s="4"/>
      <c r="D953" s="4"/>
    </row>
    <row r="954" spans="1:4" ht="15.75" customHeight="1" x14ac:dyDescent="0.3">
      <c r="A954" s="4"/>
      <c r="B954" s="4"/>
      <c r="C954" s="4"/>
      <c r="D954" s="4"/>
    </row>
    <row r="955" spans="1:4" ht="15.75" customHeight="1" x14ac:dyDescent="0.3">
      <c r="A955" s="4"/>
      <c r="B955" s="4"/>
      <c r="C955" s="4"/>
      <c r="D955" s="4"/>
    </row>
    <row r="956" spans="1:4" ht="15.75" customHeight="1" x14ac:dyDescent="0.3">
      <c r="A956" s="4"/>
      <c r="B956" s="4"/>
      <c r="C956" s="4"/>
      <c r="D956" s="4"/>
    </row>
    <row r="957" spans="1:4" ht="15.75" customHeight="1" x14ac:dyDescent="0.3">
      <c r="A957" s="4"/>
      <c r="B957" s="4"/>
      <c r="C957" s="4"/>
      <c r="D957" s="4"/>
    </row>
    <row r="958" spans="1:4" ht="15.75" customHeight="1" x14ac:dyDescent="0.3">
      <c r="A958" s="4"/>
      <c r="B958" s="4"/>
      <c r="C958" s="4"/>
      <c r="D958" s="4"/>
    </row>
    <row r="959" spans="1:4" ht="15.75" customHeight="1" x14ac:dyDescent="0.3">
      <c r="A959" s="4"/>
      <c r="B959" s="4"/>
      <c r="C959" s="4"/>
      <c r="D959" s="4"/>
    </row>
    <row r="960" spans="1:4" ht="15.75" customHeight="1" x14ac:dyDescent="0.3">
      <c r="A960" s="4"/>
      <c r="B960" s="4"/>
      <c r="C960" s="4"/>
      <c r="D960" s="4"/>
    </row>
    <row r="961" spans="1:4" ht="15.75" customHeight="1" x14ac:dyDescent="0.3">
      <c r="A961" s="4"/>
      <c r="B961" s="4"/>
      <c r="C961" s="4"/>
      <c r="D961" s="4"/>
    </row>
    <row r="962" spans="1:4" ht="15.75" customHeight="1" x14ac:dyDescent="0.3">
      <c r="A962" s="4"/>
      <c r="B962" s="4"/>
      <c r="C962" s="4"/>
      <c r="D962" s="4"/>
    </row>
    <row r="963" spans="1:4" ht="15.75" customHeight="1" x14ac:dyDescent="0.3">
      <c r="A963" s="4"/>
      <c r="B963" s="4"/>
      <c r="C963" s="4"/>
      <c r="D963" s="4"/>
    </row>
    <row r="964" spans="1:4" ht="15.75" customHeight="1" x14ac:dyDescent="0.3">
      <c r="A964" s="4"/>
      <c r="B964" s="4"/>
      <c r="C964" s="4"/>
      <c r="D964" s="4"/>
    </row>
    <row r="965" spans="1:4" ht="15.75" customHeight="1" x14ac:dyDescent="0.3">
      <c r="A965" s="4"/>
      <c r="B965" s="4"/>
      <c r="C965" s="4"/>
      <c r="D965" s="4"/>
    </row>
    <row r="966" spans="1:4" ht="15.75" customHeight="1" x14ac:dyDescent="0.3">
      <c r="A966" s="4"/>
      <c r="B966" s="4"/>
      <c r="C966" s="4"/>
      <c r="D966" s="4"/>
    </row>
    <row r="967" spans="1:4" ht="15.75" customHeight="1" x14ac:dyDescent="0.3">
      <c r="A967" s="4"/>
      <c r="B967" s="4"/>
      <c r="C967" s="4"/>
      <c r="D967" s="4"/>
    </row>
    <row r="968" spans="1:4" ht="15.75" customHeight="1" x14ac:dyDescent="0.3">
      <c r="A968" s="4"/>
      <c r="B968" s="4"/>
      <c r="C968" s="4"/>
      <c r="D968" s="4"/>
    </row>
    <row r="969" spans="1:4" ht="15.75" customHeight="1" x14ac:dyDescent="0.3">
      <c r="A969" s="4"/>
      <c r="B969" s="4"/>
      <c r="C969" s="4"/>
      <c r="D969" s="4"/>
    </row>
    <row r="970" spans="1:4" ht="15.75" customHeight="1" x14ac:dyDescent="0.3">
      <c r="A970" s="4"/>
      <c r="B970" s="4"/>
      <c r="C970" s="4"/>
      <c r="D970" s="4"/>
    </row>
    <row r="971" spans="1:4" ht="15.75" customHeight="1" x14ac:dyDescent="0.3">
      <c r="A971" s="4"/>
      <c r="B971" s="4"/>
      <c r="C971" s="4"/>
      <c r="D971" s="4"/>
    </row>
    <row r="972" spans="1:4" ht="15.75" customHeight="1" x14ac:dyDescent="0.3">
      <c r="A972" s="4"/>
      <c r="B972" s="4"/>
      <c r="C972" s="4"/>
      <c r="D972" s="4"/>
    </row>
    <row r="973" spans="1:4" ht="15.75" customHeight="1" x14ac:dyDescent="0.3">
      <c r="A973" s="4"/>
      <c r="B973" s="4"/>
      <c r="C973" s="4"/>
      <c r="D973" s="4"/>
    </row>
    <row r="974" spans="1:4" ht="15.75" customHeight="1" x14ac:dyDescent="0.3">
      <c r="A974" s="4"/>
      <c r="B974" s="4"/>
      <c r="C974" s="4"/>
      <c r="D974" s="4"/>
    </row>
    <row r="975" spans="1:4" ht="15.75" customHeight="1" x14ac:dyDescent="0.3">
      <c r="A975" s="4"/>
      <c r="B975" s="4"/>
      <c r="C975" s="4"/>
      <c r="D975" s="4"/>
    </row>
    <row r="976" spans="1:4" ht="15.75" customHeight="1" x14ac:dyDescent="0.3">
      <c r="A976" s="4"/>
      <c r="B976" s="4"/>
      <c r="C976" s="4"/>
      <c r="D976" s="4"/>
    </row>
    <row r="977" spans="1:4" ht="15.75" customHeight="1" x14ac:dyDescent="0.3">
      <c r="A977" s="4"/>
      <c r="B977" s="4"/>
      <c r="C977" s="4"/>
      <c r="D977" s="4"/>
    </row>
    <row r="978" spans="1:4" ht="15.75" customHeight="1" x14ac:dyDescent="0.3">
      <c r="A978" s="4"/>
      <c r="B978" s="4"/>
      <c r="C978" s="4"/>
      <c r="D978" s="4"/>
    </row>
    <row r="979" spans="1:4" ht="15.75" customHeight="1" x14ac:dyDescent="0.3">
      <c r="A979" s="4"/>
      <c r="B979" s="4"/>
      <c r="C979" s="4"/>
      <c r="D979" s="4"/>
    </row>
    <row r="980" spans="1:4" ht="15.75" customHeight="1" x14ac:dyDescent="0.3">
      <c r="A980" s="4"/>
      <c r="B980" s="4"/>
      <c r="C980" s="4"/>
      <c r="D980" s="4"/>
    </row>
    <row r="981" spans="1:4" ht="15.75" customHeight="1" x14ac:dyDescent="0.3">
      <c r="A981" s="4"/>
      <c r="B981" s="4"/>
      <c r="C981" s="4"/>
      <c r="D981" s="4"/>
    </row>
    <row r="982" spans="1:4" ht="15.75" customHeight="1" x14ac:dyDescent="0.3">
      <c r="A982" s="4"/>
      <c r="B982" s="4"/>
      <c r="C982" s="4"/>
      <c r="D982" s="4"/>
    </row>
    <row r="983" spans="1:4" ht="15.75" customHeight="1" x14ac:dyDescent="0.3">
      <c r="A983" s="4"/>
      <c r="B983" s="4"/>
      <c r="C983" s="4"/>
      <c r="D983" s="4"/>
    </row>
    <row r="984" spans="1:4" ht="15.75" customHeight="1" x14ac:dyDescent="0.3">
      <c r="A984" s="4"/>
      <c r="B984" s="4"/>
      <c r="C984" s="4"/>
      <c r="D984" s="4"/>
    </row>
    <row r="985" spans="1:4" ht="15.75" customHeight="1" x14ac:dyDescent="0.3">
      <c r="A985" s="4"/>
      <c r="B985" s="4"/>
      <c r="C985" s="4"/>
      <c r="D985" s="4"/>
    </row>
    <row r="986" spans="1:4" ht="15.75" customHeight="1" x14ac:dyDescent="0.3">
      <c r="A986" s="4"/>
      <c r="B986" s="4"/>
      <c r="C986" s="4"/>
      <c r="D986" s="4"/>
    </row>
    <row r="987" spans="1:4" ht="15.75" customHeight="1" x14ac:dyDescent="0.3">
      <c r="A987" s="4"/>
      <c r="B987" s="4"/>
      <c r="C987" s="4"/>
      <c r="D987" s="4"/>
    </row>
    <row r="988" spans="1:4" ht="15.75" customHeight="1" x14ac:dyDescent="0.3">
      <c r="A988" s="4"/>
      <c r="B988" s="4"/>
      <c r="C988" s="4"/>
      <c r="D988" s="4"/>
    </row>
    <row r="989" spans="1:4" ht="15.75" customHeight="1" x14ac:dyDescent="0.3">
      <c r="A989" s="4"/>
      <c r="B989" s="4"/>
      <c r="C989" s="4"/>
      <c r="D989" s="4"/>
    </row>
    <row r="990" spans="1:4" ht="15.75" customHeight="1" x14ac:dyDescent="0.3">
      <c r="A990" s="4"/>
      <c r="B990" s="4"/>
      <c r="C990" s="4"/>
      <c r="D990" s="4"/>
    </row>
    <row r="991" spans="1:4" ht="15.75" customHeight="1" x14ac:dyDescent="0.3">
      <c r="A991" s="4"/>
      <c r="B991" s="4"/>
      <c r="C991" s="4"/>
      <c r="D991" s="4"/>
    </row>
    <row r="992" spans="1:4" ht="15.75" customHeight="1" x14ac:dyDescent="0.3">
      <c r="A992" s="4"/>
      <c r="B992" s="4"/>
      <c r="C992" s="4"/>
      <c r="D992" s="4"/>
    </row>
    <row r="993" spans="1:4" ht="15.75" customHeight="1" x14ac:dyDescent="0.3">
      <c r="A993" s="4"/>
      <c r="B993" s="4"/>
      <c r="C993" s="4"/>
      <c r="D993" s="4"/>
    </row>
    <row r="994" spans="1:4" ht="15.75" customHeight="1" x14ac:dyDescent="0.3">
      <c r="A994" s="4"/>
      <c r="B994" s="4"/>
      <c r="C994" s="4"/>
      <c r="D994" s="4"/>
    </row>
    <row r="995" spans="1:4" ht="15.75" customHeight="1" x14ac:dyDescent="0.3">
      <c r="A995" s="4"/>
      <c r="B995" s="4"/>
      <c r="C995" s="4"/>
      <c r="D995" s="4"/>
    </row>
    <row r="996" spans="1:4" ht="15.75" customHeight="1" x14ac:dyDescent="0.3">
      <c r="A996" s="4"/>
      <c r="B996" s="4"/>
      <c r="C996" s="4"/>
      <c r="D996" s="4"/>
    </row>
    <row r="997" spans="1:4" ht="15.75" customHeight="1" x14ac:dyDescent="0.3">
      <c r="A997" s="4"/>
      <c r="B997" s="4"/>
      <c r="C997" s="4"/>
      <c r="D997" s="4"/>
    </row>
    <row r="998" spans="1:4" ht="15.75" customHeight="1" x14ac:dyDescent="0.3">
      <c r="A998" s="4"/>
      <c r="B998" s="4"/>
      <c r="C998" s="4"/>
      <c r="D998" s="4"/>
    </row>
    <row r="999" spans="1:4" ht="15.75" customHeight="1" x14ac:dyDescent="0.3">
      <c r="A999" s="4"/>
      <c r="B999" s="4"/>
      <c r="C999" s="4"/>
      <c r="D999" s="4"/>
    </row>
    <row r="1000" spans="1:4" ht="15.75" customHeight="1" x14ac:dyDescent="0.3">
      <c r="A1000" s="4"/>
      <c r="B1000" s="4"/>
      <c r="C1000" s="4"/>
      <c r="D1000" s="4"/>
    </row>
  </sheetData>
  <mergeCells count="1">
    <mergeCell ref="A1:D1"/>
  </mergeCells>
  <phoneticPr fontId="14"/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11" customWidth="1"/>
    <col min="2" max="2" width="6" customWidth="1"/>
    <col min="3" max="3" width="40" customWidth="1"/>
    <col min="4" max="4" width="55" customWidth="1"/>
    <col min="5" max="5" width="40" customWidth="1"/>
    <col min="6" max="6" width="10" customWidth="1"/>
    <col min="7" max="26" width="8.6640625" customWidth="1"/>
  </cols>
  <sheetData>
    <row r="1" spans="1:6" ht="21" customHeight="1" x14ac:dyDescent="0.5">
      <c r="A1" s="64" t="s">
        <v>1080</v>
      </c>
      <c r="B1" s="60"/>
      <c r="C1" s="60"/>
      <c r="D1" s="60"/>
      <c r="E1" s="60"/>
      <c r="F1" s="60"/>
    </row>
    <row r="2" spans="1:6" ht="13.5" customHeight="1" x14ac:dyDescent="0.3">
      <c r="A2" s="65" t="s">
        <v>1081</v>
      </c>
      <c r="B2" s="60"/>
      <c r="C2" s="60"/>
      <c r="D2" s="60"/>
      <c r="E2" s="60"/>
      <c r="F2" s="60"/>
    </row>
    <row r="3" spans="1:6" ht="14.4" x14ac:dyDescent="0.3">
      <c r="A3" s="4"/>
      <c r="B3" s="4"/>
      <c r="C3" s="4"/>
      <c r="D3" s="4"/>
      <c r="E3" s="4"/>
      <c r="F3" s="4"/>
    </row>
    <row r="4" spans="1:6" ht="48" customHeight="1" x14ac:dyDescent="0.3">
      <c r="A4" s="7" t="s">
        <v>1082</v>
      </c>
      <c r="B4" s="7" t="s">
        <v>1083</v>
      </c>
      <c r="C4" s="7" t="s">
        <v>1084</v>
      </c>
      <c r="D4" s="7" t="s">
        <v>1085</v>
      </c>
      <c r="E4" s="7" t="s">
        <v>1031</v>
      </c>
      <c r="F4" s="7" t="s">
        <v>1086</v>
      </c>
    </row>
    <row r="5" spans="1:6" ht="15" customHeight="1" x14ac:dyDescent="0.3">
      <c r="A5" s="17" t="s">
        <v>1087</v>
      </c>
      <c r="B5" s="17" t="s">
        <v>49</v>
      </c>
      <c r="C5" s="19" t="s">
        <v>1088</v>
      </c>
      <c r="D5" s="19" t="s">
        <v>1089</v>
      </c>
      <c r="E5" s="17" t="s">
        <v>1090</v>
      </c>
      <c r="F5" s="17">
        <f t="shared" ref="F5:F68" si="0">IF(TRIM(E5)="",0,LEN(E5)-LEN(SUBSTITUTE(E5,",",""))+1)</f>
        <v>2</v>
      </c>
    </row>
    <row r="6" spans="1:6" ht="15" customHeight="1" x14ac:dyDescent="0.3">
      <c r="A6" s="17" t="s">
        <v>1091</v>
      </c>
      <c r="B6" s="17" t="s">
        <v>49</v>
      </c>
      <c r="C6" s="17" t="s">
        <v>1092</v>
      </c>
      <c r="D6" s="19" t="s">
        <v>1093</v>
      </c>
      <c r="E6" s="17" t="s">
        <v>606</v>
      </c>
      <c r="F6" s="17">
        <f t="shared" si="0"/>
        <v>1</v>
      </c>
    </row>
    <row r="7" spans="1:6" ht="15" customHeight="1" x14ac:dyDescent="0.3">
      <c r="A7" s="17" t="s">
        <v>1094</v>
      </c>
      <c r="B7" s="17" t="s">
        <v>49</v>
      </c>
      <c r="C7" s="19" t="s">
        <v>1095</v>
      </c>
      <c r="D7" s="17" t="s">
        <v>1096</v>
      </c>
      <c r="E7" s="17" t="s">
        <v>1097</v>
      </c>
      <c r="F7" s="17">
        <f t="shared" si="0"/>
        <v>3</v>
      </c>
    </row>
    <row r="8" spans="1:6" ht="15" customHeight="1" x14ac:dyDescent="0.3">
      <c r="A8" s="17" t="s">
        <v>1098</v>
      </c>
      <c r="B8" s="17" t="s">
        <v>49</v>
      </c>
      <c r="C8" s="19" t="s">
        <v>1099</v>
      </c>
      <c r="D8" s="19" t="s">
        <v>1100</v>
      </c>
      <c r="E8" s="17" t="s">
        <v>1051</v>
      </c>
      <c r="F8" s="17">
        <f t="shared" si="0"/>
        <v>2</v>
      </c>
    </row>
    <row r="9" spans="1:6" ht="26.25" customHeight="1" x14ac:dyDescent="0.3">
      <c r="A9" s="17" t="s">
        <v>1101</v>
      </c>
      <c r="B9" s="17" t="s">
        <v>49</v>
      </c>
      <c r="C9" s="19" t="s">
        <v>1102</v>
      </c>
      <c r="D9" s="19" t="s">
        <v>1103</v>
      </c>
      <c r="E9" s="17" t="s">
        <v>952</v>
      </c>
      <c r="F9" s="17">
        <f t="shared" si="0"/>
        <v>2</v>
      </c>
    </row>
    <row r="10" spans="1:6" ht="15" customHeight="1" x14ac:dyDescent="0.3">
      <c r="A10" s="17" t="s">
        <v>1104</v>
      </c>
      <c r="B10" s="17" t="s">
        <v>49</v>
      </c>
      <c r="C10" s="17" t="s">
        <v>1105</v>
      </c>
      <c r="D10" s="17" t="s">
        <v>1106</v>
      </c>
      <c r="E10" s="17" t="s">
        <v>1107</v>
      </c>
      <c r="F10" s="17">
        <f t="shared" si="0"/>
        <v>5</v>
      </c>
    </row>
    <row r="11" spans="1:6" ht="15" customHeight="1" x14ac:dyDescent="0.3">
      <c r="A11" s="17" t="s">
        <v>1108</v>
      </c>
      <c r="B11" s="17" t="s">
        <v>49</v>
      </c>
      <c r="C11" s="17" t="s">
        <v>1109</v>
      </c>
      <c r="D11" s="17" t="s">
        <v>1110</v>
      </c>
      <c r="E11" s="17" t="s">
        <v>372</v>
      </c>
      <c r="F11" s="17">
        <f t="shared" si="0"/>
        <v>1</v>
      </c>
    </row>
    <row r="12" spans="1:6" ht="15" customHeight="1" x14ac:dyDescent="0.3">
      <c r="A12" s="17" t="s">
        <v>1111</v>
      </c>
      <c r="B12" s="17" t="s">
        <v>49</v>
      </c>
      <c r="C12" s="17" t="s">
        <v>1112</v>
      </c>
      <c r="D12" s="19" t="s">
        <v>1113</v>
      </c>
      <c r="E12" s="17" t="s">
        <v>1114</v>
      </c>
      <c r="F12" s="17">
        <f t="shared" si="0"/>
        <v>5</v>
      </c>
    </row>
    <row r="13" spans="1:6" ht="29.25" customHeight="1" x14ac:dyDescent="0.3">
      <c r="A13" s="17" t="s">
        <v>1115</v>
      </c>
      <c r="B13" s="17" t="s">
        <v>49</v>
      </c>
      <c r="C13" s="17" t="s">
        <v>1116</v>
      </c>
      <c r="D13" s="19" t="s">
        <v>1117</v>
      </c>
      <c r="E13" s="17" t="s">
        <v>488</v>
      </c>
      <c r="F13" s="17">
        <f t="shared" si="0"/>
        <v>1</v>
      </c>
    </row>
    <row r="14" spans="1:6" ht="15" customHeight="1" x14ac:dyDescent="0.3">
      <c r="A14" s="17" t="s">
        <v>1118</v>
      </c>
      <c r="B14" s="17" t="s">
        <v>49</v>
      </c>
      <c r="C14" s="17" t="s">
        <v>1119</v>
      </c>
      <c r="D14" s="17" t="s">
        <v>1120</v>
      </c>
      <c r="E14" s="17" t="s">
        <v>248</v>
      </c>
      <c r="F14" s="17">
        <f t="shared" si="0"/>
        <v>1</v>
      </c>
    </row>
    <row r="15" spans="1:6" ht="15" customHeight="1" x14ac:dyDescent="0.3">
      <c r="A15" s="17" t="s">
        <v>1121</v>
      </c>
      <c r="B15" s="17" t="s">
        <v>49</v>
      </c>
      <c r="C15" s="17" t="s">
        <v>1122</v>
      </c>
      <c r="D15" s="17" t="s">
        <v>1123</v>
      </c>
      <c r="E15" s="17" t="s">
        <v>484</v>
      </c>
      <c r="F15" s="17">
        <f t="shared" si="0"/>
        <v>1</v>
      </c>
    </row>
    <row r="16" spans="1:6" ht="15" customHeight="1" x14ac:dyDescent="0.3">
      <c r="A16" s="17" t="s">
        <v>1124</v>
      </c>
      <c r="B16" s="17" t="s">
        <v>49</v>
      </c>
      <c r="C16" s="17" t="s">
        <v>1125</v>
      </c>
      <c r="D16" s="17" t="s">
        <v>1126</v>
      </c>
      <c r="E16" s="17" t="s">
        <v>1127</v>
      </c>
      <c r="F16" s="17">
        <f t="shared" si="0"/>
        <v>2</v>
      </c>
    </row>
    <row r="17" spans="1:6" ht="15" customHeight="1" x14ac:dyDescent="0.3">
      <c r="A17" s="17" t="s">
        <v>1128</v>
      </c>
      <c r="B17" s="17" t="s">
        <v>49</v>
      </c>
      <c r="C17" s="17" t="s">
        <v>1129</v>
      </c>
      <c r="D17" s="19" t="s">
        <v>1130</v>
      </c>
      <c r="E17" s="17" t="s">
        <v>620</v>
      </c>
      <c r="F17" s="17">
        <f t="shared" si="0"/>
        <v>1</v>
      </c>
    </row>
    <row r="18" spans="1:6" ht="15" customHeight="1" x14ac:dyDescent="0.3">
      <c r="A18" s="17" t="s">
        <v>1131</v>
      </c>
      <c r="B18" s="17" t="s">
        <v>49</v>
      </c>
      <c r="C18" s="17" t="s">
        <v>1132</v>
      </c>
      <c r="D18" s="19" t="s">
        <v>1133</v>
      </c>
      <c r="E18" s="17" t="s">
        <v>471</v>
      </c>
      <c r="F18" s="17">
        <f t="shared" si="0"/>
        <v>1</v>
      </c>
    </row>
    <row r="19" spans="1:6" ht="15" customHeight="1" x14ac:dyDescent="0.3">
      <c r="A19" s="17" t="s">
        <v>1134</v>
      </c>
      <c r="B19" s="17" t="s">
        <v>51</v>
      </c>
      <c r="C19" s="19" t="s">
        <v>1135</v>
      </c>
      <c r="D19" s="19" t="s">
        <v>1136</v>
      </c>
      <c r="E19" s="17"/>
      <c r="F19" s="17">
        <f t="shared" si="0"/>
        <v>0</v>
      </c>
    </row>
    <row r="20" spans="1:6" ht="15" customHeight="1" x14ac:dyDescent="0.3">
      <c r="A20" s="17" t="s">
        <v>1137</v>
      </c>
      <c r="B20" s="17" t="s">
        <v>51</v>
      </c>
      <c r="C20" s="19" t="s">
        <v>1138</v>
      </c>
      <c r="D20" s="19" t="s">
        <v>1139</v>
      </c>
      <c r="E20" s="17" t="s">
        <v>253</v>
      </c>
      <c r="F20" s="17">
        <f t="shared" si="0"/>
        <v>1</v>
      </c>
    </row>
    <row r="21" spans="1:6" ht="15" customHeight="1" x14ac:dyDescent="0.3">
      <c r="A21" s="17" t="s">
        <v>1140</v>
      </c>
      <c r="B21" s="17" t="s">
        <v>51</v>
      </c>
      <c r="C21" s="19" t="s">
        <v>1141</v>
      </c>
      <c r="D21" s="19" t="s">
        <v>1142</v>
      </c>
      <c r="E21" s="17" t="s">
        <v>590</v>
      </c>
      <c r="F21" s="17">
        <f t="shared" si="0"/>
        <v>1</v>
      </c>
    </row>
    <row r="22" spans="1:6" ht="15" customHeight="1" x14ac:dyDescent="0.3">
      <c r="A22" s="17" t="s">
        <v>1143</v>
      </c>
      <c r="B22" s="17" t="s">
        <v>51</v>
      </c>
      <c r="C22" s="19" t="s">
        <v>1144</v>
      </c>
      <c r="D22" s="19" t="s">
        <v>1145</v>
      </c>
      <c r="E22" s="17" t="s">
        <v>596</v>
      </c>
      <c r="F22" s="17">
        <f t="shared" si="0"/>
        <v>1</v>
      </c>
    </row>
    <row r="23" spans="1:6" ht="15" customHeight="1" x14ac:dyDescent="0.3">
      <c r="A23" s="17" t="s">
        <v>1146</v>
      </c>
      <c r="B23" s="17" t="s">
        <v>51</v>
      </c>
      <c r="C23" s="19" t="s">
        <v>1147</v>
      </c>
      <c r="D23" s="17"/>
      <c r="E23" s="17" t="s">
        <v>596</v>
      </c>
      <c r="F23" s="17">
        <f t="shared" si="0"/>
        <v>1</v>
      </c>
    </row>
    <row r="24" spans="1:6" ht="15" customHeight="1" x14ac:dyDescent="0.3">
      <c r="A24" s="17" t="s">
        <v>1148</v>
      </c>
      <c r="B24" s="17" t="s">
        <v>53</v>
      </c>
      <c r="C24" s="19" t="s">
        <v>1149</v>
      </c>
      <c r="D24" s="19" t="s">
        <v>1150</v>
      </c>
      <c r="E24" s="17" t="s">
        <v>248</v>
      </c>
      <c r="F24" s="17">
        <f t="shared" si="0"/>
        <v>1</v>
      </c>
    </row>
    <row r="25" spans="1:6" ht="15" customHeight="1" x14ac:dyDescent="0.3">
      <c r="A25" s="17" t="s">
        <v>1151</v>
      </c>
      <c r="B25" s="17" t="s">
        <v>53</v>
      </c>
      <c r="C25" s="19" t="s">
        <v>1152</v>
      </c>
      <c r="D25" s="19" t="s">
        <v>1153</v>
      </c>
      <c r="E25" s="17" t="s">
        <v>1154</v>
      </c>
      <c r="F25" s="17">
        <f t="shared" si="0"/>
        <v>2</v>
      </c>
    </row>
    <row r="26" spans="1:6" ht="15" customHeight="1" x14ac:dyDescent="0.3">
      <c r="A26" s="17" t="s">
        <v>1155</v>
      </c>
      <c r="B26" s="17" t="s">
        <v>53</v>
      </c>
      <c r="C26" s="19" t="s">
        <v>1156</v>
      </c>
      <c r="D26" s="19" t="s">
        <v>1157</v>
      </c>
      <c r="E26" s="17" t="s">
        <v>334</v>
      </c>
      <c r="F26" s="17">
        <f t="shared" si="0"/>
        <v>1</v>
      </c>
    </row>
    <row r="27" spans="1:6" ht="15" customHeight="1" x14ac:dyDescent="0.3">
      <c r="A27" s="17" t="s">
        <v>1158</v>
      </c>
      <c r="B27" s="17" t="s">
        <v>53</v>
      </c>
      <c r="C27" s="19" t="s">
        <v>1159</v>
      </c>
      <c r="D27" s="19" t="s">
        <v>1160</v>
      </c>
      <c r="E27" s="17" t="s">
        <v>941</v>
      </c>
      <c r="F27" s="17">
        <f t="shared" si="0"/>
        <v>2</v>
      </c>
    </row>
    <row r="28" spans="1:6" ht="29.25" customHeight="1" x14ac:dyDescent="0.3">
      <c r="A28" s="17" t="s">
        <v>1161</v>
      </c>
      <c r="B28" s="17" t="s">
        <v>53</v>
      </c>
      <c r="C28" s="19" t="s">
        <v>1162</v>
      </c>
      <c r="D28" s="19" t="s">
        <v>1163</v>
      </c>
      <c r="E28" s="17" t="s">
        <v>248</v>
      </c>
      <c r="F28" s="17">
        <f t="shared" si="0"/>
        <v>1</v>
      </c>
    </row>
    <row r="29" spans="1:6" ht="15" customHeight="1" x14ac:dyDescent="0.3">
      <c r="A29" s="17" t="s">
        <v>1164</v>
      </c>
      <c r="B29" s="17" t="s">
        <v>55</v>
      </c>
      <c r="C29" s="17" t="s">
        <v>1165</v>
      </c>
      <c r="D29" s="19" t="s">
        <v>1166</v>
      </c>
      <c r="E29" s="17" t="s">
        <v>1167</v>
      </c>
      <c r="F29" s="17">
        <f t="shared" si="0"/>
        <v>2</v>
      </c>
    </row>
    <row r="30" spans="1:6" ht="15" customHeight="1" x14ac:dyDescent="0.3">
      <c r="A30" s="17" t="s">
        <v>1168</v>
      </c>
      <c r="B30" s="17" t="s">
        <v>55</v>
      </c>
      <c r="C30" s="17" t="s">
        <v>547</v>
      </c>
      <c r="D30" s="19" t="s">
        <v>1169</v>
      </c>
      <c r="E30" s="17" t="s">
        <v>546</v>
      </c>
      <c r="F30" s="17">
        <f t="shared" si="0"/>
        <v>1</v>
      </c>
    </row>
    <row r="31" spans="1:6" ht="15" customHeight="1" x14ac:dyDescent="0.3">
      <c r="A31" s="17" t="s">
        <v>1170</v>
      </c>
      <c r="B31" s="17" t="s">
        <v>55</v>
      </c>
      <c r="C31" s="17" t="s">
        <v>437</v>
      </c>
      <c r="D31" s="19" t="s">
        <v>1171</v>
      </c>
      <c r="E31" s="17" t="s">
        <v>253</v>
      </c>
      <c r="F31" s="17">
        <f t="shared" si="0"/>
        <v>1</v>
      </c>
    </row>
    <row r="32" spans="1:6" ht="15" customHeight="1" x14ac:dyDescent="0.3">
      <c r="A32" s="17" t="s">
        <v>1172</v>
      </c>
      <c r="B32" s="17" t="s">
        <v>55</v>
      </c>
      <c r="C32" s="17" t="s">
        <v>592</v>
      </c>
      <c r="D32" s="19" t="s">
        <v>1173</v>
      </c>
      <c r="E32" s="17" t="s">
        <v>590</v>
      </c>
      <c r="F32" s="17">
        <f t="shared" si="0"/>
        <v>1</v>
      </c>
    </row>
    <row r="33" spans="1:6" ht="15" customHeight="1" x14ac:dyDescent="0.3">
      <c r="A33" s="17" t="s">
        <v>1174</v>
      </c>
      <c r="B33" s="17" t="s">
        <v>55</v>
      </c>
      <c r="C33" s="17" t="s">
        <v>597</v>
      </c>
      <c r="D33" s="19" t="s">
        <v>1175</v>
      </c>
      <c r="E33" s="17" t="s">
        <v>596</v>
      </c>
      <c r="F33" s="17">
        <f t="shared" si="0"/>
        <v>1</v>
      </c>
    </row>
    <row r="34" spans="1:6" ht="15" customHeight="1" x14ac:dyDescent="0.3">
      <c r="A34" s="17" t="s">
        <v>1176</v>
      </c>
      <c r="B34" s="17" t="s">
        <v>55</v>
      </c>
      <c r="C34" s="17" t="s">
        <v>602</v>
      </c>
      <c r="D34" s="19" t="s">
        <v>1177</v>
      </c>
      <c r="E34" s="17" t="s">
        <v>601</v>
      </c>
      <c r="F34" s="17">
        <f t="shared" si="0"/>
        <v>1</v>
      </c>
    </row>
    <row r="35" spans="1:6" ht="15" customHeight="1" x14ac:dyDescent="0.3">
      <c r="A35" s="17" t="s">
        <v>1178</v>
      </c>
      <c r="B35" s="17" t="s">
        <v>55</v>
      </c>
      <c r="C35" s="17" t="s">
        <v>442</v>
      </c>
      <c r="D35" s="19" t="s">
        <v>1179</v>
      </c>
      <c r="E35" s="17" t="s">
        <v>440</v>
      </c>
      <c r="F35" s="17">
        <f t="shared" si="0"/>
        <v>1</v>
      </c>
    </row>
    <row r="36" spans="1:6" ht="15" customHeight="1" x14ac:dyDescent="0.3">
      <c r="A36" s="17" t="s">
        <v>1180</v>
      </c>
      <c r="B36" s="17" t="s">
        <v>55</v>
      </c>
      <c r="C36" s="17" t="s">
        <v>447</v>
      </c>
      <c r="D36" s="19" t="s">
        <v>1181</v>
      </c>
      <c r="E36" s="17" t="s">
        <v>445</v>
      </c>
      <c r="F36" s="17">
        <f t="shared" si="0"/>
        <v>1</v>
      </c>
    </row>
    <row r="37" spans="1:6" ht="15" customHeight="1" x14ac:dyDescent="0.3">
      <c r="A37" s="17" t="s">
        <v>1182</v>
      </c>
      <c r="B37" s="17" t="s">
        <v>55</v>
      </c>
      <c r="C37" s="17" t="s">
        <v>552</v>
      </c>
      <c r="D37" s="19" t="s">
        <v>1183</v>
      </c>
      <c r="E37" s="17" t="s">
        <v>551</v>
      </c>
      <c r="F37" s="17">
        <f t="shared" si="0"/>
        <v>1</v>
      </c>
    </row>
    <row r="38" spans="1:6" ht="15" customHeight="1" x14ac:dyDescent="0.3">
      <c r="A38" s="17" t="s">
        <v>1184</v>
      </c>
      <c r="B38" s="17" t="s">
        <v>55</v>
      </c>
      <c r="C38" s="17" t="s">
        <v>557</v>
      </c>
      <c r="D38" s="17" t="s">
        <v>1185</v>
      </c>
      <c r="E38" s="17" t="s">
        <v>555</v>
      </c>
      <c r="F38" s="17">
        <f t="shared" si="0"/>
        <v>1</v>
      </c>
    </row>
    <row r="39" spans="1:6" ht="15" customHeight="1" x14ac:dyDescent="0.3">
      <c r="A39" s="17" t="s">
        <v>1186</v>
      </c>
      <c r="B39" s="17" t="s">
        <v>55</v>
      </c>
      <c r="C39" s="17" t="s">
        <v>453</v>
      </c>
      <c r="D39" s="19" t="s">
        <v>1187</v>
      </c>
      <c r="E39" s="17" t="s">
        <v>332</v>
      </c>
      <c r="F39" s="17">
        <f t="shared" si="0"/>
        <v>1</v>
      </c>
    </row>
    <row r="40" spans="1:6" ht="15" customHeight="1" x14ac:dyDescent="0.3">
      <c r="A40" s="17" t="s">
        <v>1188</v>
      </c>
      <c r="B40" s="17" t="s">
        <v>458</v>
      </c>
      <c r="C40" s="19" t="s">
        <v>1189</v>
      </c>
      <c r="D40" s="19" t="s">
        <v>1190</v>
      </c>
      <c r="E40" s="17" t="s">
        <v>456</v>
      </c>
      <c r="F40" s="17">
        <f t="shared" si="0"/>
        <v>1</v>
      </c>
    </row>
    <row r="41" spans="1:6" ht="15" customHeight="1" x14ac:dyDescent="0.3">
      <c r="A41" s="17" t="s">
        <v>1191</v>
      </c>
      <c r="B41" s="17" t="s">
        <v>458</v>
      </c>
      <c r="C41" s="19" t="s">
        <v>1192</v>
      </c>
      <c r="D41" s="19" t="s">
        <v>1193</v>
      </c>
      <c r="E41" s="17" t="s">
        <v>456</v>
      </c>
      <c r="F41" s="17">
        <f t="shared" si="0"/>
        <v>1</v>
      </c>
    </row>
    <row r="42" spans="1:6" ht="15" customHeight="1" x14ac:dyDescent="0.3">
      <c r="A42" s="17" t="s">
        <v>1194</v>
      </c>
      <c r="B42" s="17" t="s">
        <v>458</v>
      </c>
      <c r="C42" s="19" t="s">
        <v>1195</v>
      </c>
      <c r="D42" s="19" t="s">
        <v>796</v>
      </c>
      <c r="E42" s="17" t="s">
        <v>462</v>
      </c>
      <c r="F42" s="17">
        <f t="shared" si="0"/>
        <v>1</v>
      </c>
    </row>
    <row r="43" spans="1:6" ht="15" customHeight="1" x14ac:dyDescent="0.3">
      <c r="A43" s="17" t="s">
        <v>1196</v>
      </c>
      <c r="B43" s="17" t="s">
        <v>458</v>
      </c>
      <c r="C43" s="19" t="s">
        <v>1197</v>
      </c>
      <c r="D43" s="17"/>
      <c r="E43" s="17" t="s">
        <v>456</v>
      </c>
      <c r="F43" s="17">
        <f t="shared" si="0"/>
        <v>1</v>
      </c>
    </row>
    <row r="44" spans="1:6" ht="15" customHeight="1" x14ac:dyDescent="0.3">
      <c r="A44" s="17" t="s">
        <v>1198</v>
      </c>
      <c r="B44" s="17" t="s">
        <v>458</v>
      </c>
      <c r="C44" s="19" t="s">
        <v>1199</v>
      </c>
      <c r="D44" s="19" t="s">
        <v>796</v>
      </c>
      <c r="E44" s="17" t="s">
        <v>462</v>
      </c>
      <c r="F44" s="17">
        <f t="shared" si="0"/>
        <v>1</v>
      </c>
    </row>
    <row r="45" spans="1:6" ht="15" customHeight="1" x14ac:dyDescent="0.3">
      <c r="A45" s="17" t="s">
        <v>1200</v>
      </c>
      <c r="B45" s="17" t="s">
        <v>458</v>
      </c>
      <c r="C45" s="19" t="s">
        <v>1201</v>
      </c>
      <c r="D45" s="17"/>
      <c r="E45" s="17" t="s">
        <v>456</v>
      </c>
      <c r="F45" s="17">
        <f t="shared" si="0"/>
        <v>1</v>
      </c>
    </row>
    <row r="46" spans="1:6" ht="15" customHeight="1" x14ac:dyDescent="0.3">
      <c r="A46" s="17" t="s">
        <v>1202</v>
      </c>
      <c r="B46" s="17" t="s">
        <v>458</v>
      </c>
      <c r="C46" s="19" t="s">
        <v>1203</v>
      </c>
      <c r="D46" s="17" t="s">
        <v>1204</v>
      </c>
      <c r="E46" s="17" t="s">
        <v>946</v>
      </c>
      <c r="F46" s="17">
        <f t="shared" si="0"/>
        <v>2</v>
      </c>
    </row>
    <row r="47" spans="1:6" ht="15" customHeight="1" x14ac:dyDescent="0.3">
      <c r="A47" s="17" t="s">
        <v>1205</v>
      </c>
      <c r="B47" s="17" t="s">
        <v>458</v>
      </c>
      <c r="C47" s="19" t="s">
        <v>1206</v>
      </c>
      <c r="D47" s="17"/>
      <c r="E47" s="17" t="s">
        <v>467</v>
      </c>
      <c r="F47" s="17">
        <f t="shared" si="0"/>
        <v>1</v>
      </c>
    </row>
    <row r="48" spans="1:6" ht="15" customHeight="1" x14ac:dyDescent="0.3">
      <c r="A48" s="17" t="s">
        <v>1207</v>
      </c>
      <c r="B48" s="17" t="s">
        <v>458</v>
      </c>
      <c r="C48" s="19" t="s">
        <v>1208</v>
      </c>
      <c r="D48" s="17"/>
      <c r="E48" s="17" t="s">
        <v>467</v>
      </c>
      <c r="F48" s="17">
        <f t="shared" si="0"/>
        <v>1</v>
      </c>
    </row>
    <row r="49" spans="1:6" ht="15" customHeight="1" x14ac:dyDescent="0.3">
      <c r="A49" s="17" t="s">
        <v>1209</v>
      </c>
      <c r="B49" s="17" t="s">
        <v>458</v>
      </c>
      <c r="C49" s="19" t="s">
        <v>1210</v>
      </c>
      <c r="D49" s="17"/>
      <c r="E49" s="17" t="s">
        <v>471</v>
      </c>
      <c r="F49" s="17">
        <f t="shared" si="0"/>
        <v>1</v>
      </c>
    </row>
    <row r="50" spans="1:6" ht="15" customHeight="1" x14ac:dyDescent="0.3">
      <c r="A50" s="17" t="s">
        <v>1211</v>
      </c>
      <c r="B50" s="17" t="s">
        <v>458</v>
      </c>
      <c r="C50" s="17" t="s">
        <v>1212</v>
      </c>
      <c r="D50" s="17"/>
      <c r="E50" s="17" t="s">
        <v>1213</v>
      </c>
      <c r="F50" s="17">
        <f t="shared" si="0"/>
        <v>2</v>
      </c>
    </row>
    <row r="51" spans="1:6" ht="15" customHeight="1" x14ac:dyDescent="0.3">
      <c r="A51" s="17" t="s">
        <v>1214</v>
      </c>
      <c r="B51" s="17" t="s">
        <v>458</v>
      </c>
      <c r="C51" s="19" t="s">
        <v>1215</v>
      </c>
      <c r="D51" s="17"/>
      <c r="E51" s="17" t="s">
        <v>440</v>
      </c>
      <c r="F51" s="17">
        <f t="shared" si="0"/>
        <v>1</v>
      </c>
    </row>
    <row r="52" spans="1:6" ht="15" customHeight="1" x14ac:dyDescent="0.3">
      <c r="A52" s="17" t="s">
        <v>1216</v>
      </c>
      <c r="B52" s="17" t="s">
        <v>458</v>
      </c>
      <c r="C52" s="19" t="s">
        <v>1217</v>
      </c>
      <c r="D52" s="17"/>
      <c r="E52" s="17" t="s">
        <v>679</v>
      </c>
      <c r="F52" s="17">
        <f t="shared" si="0"/>
        <v>1</v>
      </c>
    </row>
    <row r="53" spans="1:6" ht="15" customHeight="1" x14ac:dyDescent="0.3">
      <c r="A53" s="17" t="s">
        <v>1218</v>
      </c>
      <c r="B53" s="17" t="s">
        <v>458</v>
      </c>
      <c r="C53" s="19" t="s">
        <v>1219</v>
      </c>
      <c r="D53" s="17"/>
      <c r="E53" s="17" t="s">
        <v>467</v>
      </c>
      <c r="F53" s="17">
        <f t="shared" si="0"/>
        <v>1</v>
      </c>
    </row>
    <row r="54" spans="1:6" ht="15" customHeight="1" x14ac:dyDescent="0.3">
      <c r="A54" s="17" t="s">
        <v>1220</v>
      </c>
      <c r="B54" s="17" t="s">
        <v>427</v>
      </c>
      <c r="C54" s="17" t="s">
        <v>1221</v>
      </c>
      <c r="D54" s="19" t="s">
        <v>1222</v>
      </c>
      <c r="E54" s="17" t="s">
        <v>514</v>
      </c>
      <c r="F54" s="17">
        <f t="shared" si="0"/>
        <v>1</v>
      </c>
    </row>
    <row r="55" spans="1:6" ht="15" customHeight="1" x14ac:dyDescent="0.3">
      <c r="A55" s="17" t="s">
        <v>1223</v>
      </c>
      <c r="B55" s="17" t="s">
        <v>427</v>
      </c>
      <c r="C55" s="19" t="s">
        <v>1224</v>
      </c>
      <c r="D55" s="19" t="s">
        <v>1225</v>
      </c>
      <c r="E55" s="17" t="s">
        <v>431</v>
      </c>
      <c r="F55" s="17">
        <f t="shared" si="0"/>
        <v>1</v>
      </c>
    </row>
    <row r="56" spans="1:6" ht="15" customHeight="1" x14ac:dyDescent="0.3">
      <c r="A56" s="17" t="s">
        <v>1226</v>
      </c>
      <c r="B56" s="17" t="s">
        <v>427</v>
      </c>
      <c r="C56" s="19" t="s">
        <v>1227</v>
      </c>
      <c r="D56" s="19" t="s">
        <v>1228</v>
      </c>
      <c r="E56" s="17" t="s">
        <v>514</v>
      </c>
      <c r="F56" s="17">
        <f t="shared" si="0"/>
        <v>1</v>
      </c>
    </row>
    <row r="57" spans="1:6" ht="15" customHeight="1" x14ac:dyDescent="0.3">
      <c r="A57" s="17" t="s">
        <v>1229</v>
      </c>
      <c r="B57" s="17" t="s">
        <v>427</v>
      </c>
      <c r="C57" s="17" t="s">
        <v>1230</v>
      </c>
      <c r="D57" s="17"/>
      <c r="E57" s="17" t="s">
        <v>514</v>
      </c>
      <c r="F57" s="17">
        <f t="shared" si="0"/>
        <v>1</v>
      </c>
    </row>
    <row r="58" spans="1:6" ht="15" customHeight="1" x14ac:dyDescent="0.3">
      <c r="A58" s="17" t="s">
        <v>1231</v>
      </c>
      <c r="B58" s="17" t="s">
        <v>427</v>
      </c>
      <c r="C58" s="17" t="s">
        <v>1232</v>
      </c>
      <c r="D58" s="17"/>
      <c r="E58" s="17" t="s">
        <v>514</v>
      </c>
      <c r="F58" s="17">
        <f t="shared" si="0"/>
        <v>1</v>
      </c>
    </row>
    <row r="59" spans="1:6" ht="29.25" customHeight="1" x14ac:dyDescent="0.3">
      <c r="A59" s="17" t="s">
        <v>1233</v>
      </c>
      <c r="B59" s="17" t="s">
        <v>427</v>
      </c>
      <c r="C59" s="19" t="s">
        <v>1234</v>
      </c>
      <c r="D59" s="17" t="s">
        <v>1235</v>
      </c>
      <c r="E59" s="17" t="s">
        <v>532</v>
      </c>
      <c r="F59" s="17">
        <f t="shared" si="0"/>
        <v>1</v>
      </c>
    </row>
    <row r="60" spans="1:6" ht="15" customHeight="1" x14ac:dyDescent="0.3">
      <c r="A60" s="17" t="s">
        <v>1236</v>
      </c>
      <c r="B60" s="17" t="s">
        <v>427</v>
      </c>
      <c r="C60" s="19" t="s">
        <v>1237</v>
      </c>
      <c r="D60" s="19" t="s">
        <v>1238</v>
      </c>
      <c r="E60" s="17" t="s">
        <v>532</v>
      </c>
      <c r="F60" s="17">
        <f t="shared" si="0"/>
        <v>1</v>
      </c>
    </row>
    <row r="61" spans="1:6" ht="15" customHeight="1" x14ac:dyDescent="0.3">
      <c r="A61" s="17" t="s">
        <v>1239</v>
      </c>
      <c r="B61" s="17" t="s">
        <v>427</v>
      </c>
      <c r="C61" s="19" t="s">
        <v>1240</v>
      </c>
      <c r="D61" s="17" t="s">
        <v>1241</v>
      </c>
      <c r="E61" s="17" t="s">
        <v>1242</v>
      </c>
      <c r="F61" s="17">
        <f t="shared" si="0"/>
        <v>2</v>
      </c>
    </row>
    <row r="62" spans="1:6" ht="15" customHeight="1" x14ac:dyDescent="0.3">
      <c r="A62" s="17" t="s">
        <v>1243</v>
      </c>
      <c r="B62" s="17" t="s">
        <v>427</v>
      </c>
      <c r="C62" s="19" t="s">
        <v>1244</v>
      </c>
      <c r="D62" s="19" t="s">
        <v>1245</v>
      </c>
      <c r="E62" s="17" t="s">
        <v>1246</v>
      </c>
      <c r="F62" s="17">
        <f t="shared" si="0"/>
        <v>2</v>
      </c>
    </row>
    <row r="63" spans="1:6" ht="15" customHeight="1" x14ac:dyDescent="0.3">
      <c r="A63" s="17" t="s">
        <v>1247</v>
      </c>
      <c r="B63" s="17" t="s">
        <v>427</v>
      </c>
      <c r="C63" s="19" t="s">
        <v>1248</v>
      </c>
      <c r="D63" s="19" t="s">
        <v>1249</v>
      </c>
      <c r="E63" s="17" t="s">
        <v>542</v>
      </c>
      <c r="F63" s="17">
        <f t="shared" si="0"/>
        <v>1</v>
      </c>
    </row>
    <row r="64" spans="1:6" ht="15" customHeight="1" x14ac:dyDescent="0.3">
      <c r="A64" s="17" t="s">
        <v>1250</v>
      </c>
      <c r="B64" s="17" t="s">
        <v>1251</v>
      </c>
      <c r="C64" s="19" t="s">
        <v>1252</v>
      </c>
      <c r="D64" s="19" t="s">
        <v>1253</v>
      </c>
      <c r="E64" s="17" t="s">
        <v>1254</v>
      </c>
      <c r="F64" s="17">
        <f t="shared" si="0"/>
        <v>2</v>
      </c>
    </row>
    <row r="65" spans="1:6" ht="15" customHeight="1" x14ac:dyDescent="0.3">
      <c r="A65" s="17" t="s">
        <v>1255</v>
      </c>
      <c r="B65" s="17" t="s">
        <v>1251</v>
      </c>
      <c r="C65" s="19" t="s">
        <v>1256</v>
      </c>
      <c r="D65" s="19" t="s">
        <v>1257</v>
      </c>
      <c r="E65" s="17" t="s">
        <v>590</v>
      </c>
      <c r="F65" s="17">
        <f t="shared" si="0"/>
        <v>1</v>
      </c>
    </row>
    <row r="66" spans="1:6" ht="15" customHeight="1" x14ac:dyDescent="0.3">
      <c r="A66" s="17" t="s">
        <v>1258</v>
      </c>
      <c r="B66" s="17" t="s">
        <v>1251</v>
      </c>
      <c r="C66" s="19" t="s">
        <v>1259</v>
      </c>
      <c r="D66" s="17"/>
      <c r="E66" s="17" t="s">
        <v>596</v>
      </c>
      <c r="F66" s="17">
        <f t="shared" si="0"/>
        <v>1</v>
      </c>
    </row>
    <row r="67" spans="1:6" ht="15" customHeight="1" x14ac:dyDescent="0.3">
      <c r="A67" s="17" t="s">
        <v>1260</v>
      </c>
      <c r="B67" s="17" t="s">
        <v>1251</v>
      </c>
      <c r="C67" s="17" t="s">
        <v>1261</v>
      </c>
      <c r="D67" s="19" t="s">
        <v>1262</v>
      </c>
      <c r="E67" s="17" t="s">
        <v>538</v>
      </c>
      <c r="F67" s="17">
        <f t="shared" si="0"/>
        <v>1</v>
      </c>
    </row>
    <row r="68" spans="1:6" ht="15" customHeight="1" x14ac:dyDescent="0.3">
      <c r="A68" s="17" t="s">
        <v>1263</v>
      </c>
      <c r="B68" s="17" t="s">
        <v>1264</v>
      </c>
      <c r="C68" s="17" t="s">
        <v>1265</v>
      </c>
      <c r="D68" s="19" t="s">
        <v>1266</v>
      </c>
      <c r="E68" s="17" t="s">
        <v>1267</v>
      </c>
      <c r="F68" s="17">
        <f t="shared" si="0"/>
        <v>2</v>
      </c>
    </row>
    <row r="69" spans="1:6" ht="15" customHeight="1" x14ac:dyDescent="0.3">
      <c r="A69" s="17" t="s">
        <v>1268</v>
      </c>
      <c r="B69" s="17" t="s">
        <v>1264</v>
      </c>
      <c r="C69" s="17" t="s">
        <v>1269</v>
      </c>
      <c r="D69" s="17" t="s">
        <v>1270</v>
      </c>
      <c r="E69" s="17" t="s">
        <v>1271</v>
      </c>
      <c r="F69" s="17">
        <f t="shared" ref="F69:F132" si="1">IF(TRIM(E69)="",0,LEN(E69)-LEN(SUBSTITUTE(E69,",",""))+1)</f>
        <v>2</v>
      </c>
    </row>
    <row r="70" spans="1:6" ht="15" customHeight="1" x14ac:dyDescent="0.3">
      <c r="A70" s="17" t="s">
        <v>1272</v>
      </c>
      <c r="B70" s="17" t="s">
        <v>1264</v>
      </c>
      <c r="C70" s="17" t="s">
        <v>1273</v>
      </c>
      <c r="D70" s="19" t="s">
        <v>1274</v>
      </c>
      <c r="E70" s="17" t="s">
        <v>1275</v>
      </c>
      <c r="F70" s="17">
        <f t="shared" si="1"/>
        <v>2</v>
      </c>
    </row>
    <row r="71" spans="1:6" ht="15" customHeight="1" x14ac:dyDescent="0.3">
      <c r="A71" s="17" t="s">
        <v>1276</v>
      </c>
      <c r="B71" s="17" t="s">
        <v>1264</v>
      </c>
      <c r="C71" s="17" t="s">
        <v>1277</v>
      </c>
      <c r="D71" s="19" t="s">
        <v>1278</v>
      </c>
      <c r="E71" s="17" t="s">
        <v>1275</v>
      </c>
      <c r="F71" s="17">
        <f t="shared" si="1"/>
        <v>2</v>
      </c>
    </row>
    <row r="72" spans="1:6" ht="15" customHeight="1" x14ac:dyDescent="0.3">
      <c r="A72" s="17" t="s">
        <v>1279</v>
      </c>
      <c r="B72" s="17" t="s">
        <v>1264</v>
      </c>
      <c r="C72" s="17" t="s">
        <v>1280</v>
      </c>
      <c r="D72" s="19" t="s">
        <v>1281</v>
      </c>
      <c r="E72" s="17" t="s">
        <v>1282</v>
      </c>
      <c r="F72" s="17">
        <f t="shared" si="1"/>
        <v>2</v>
      </c>
    </row>
    <row r="73" spans="1:6" ht="15" customHeight="1" x14ac:dyDescent="0.3">
      <c r="A73" s="17" t="s">
        <v>1283</v>
      </c>
      <c r="B73" s="17" t="s">
        <v>1264</v>
      </c>
      <c r="C73" s="17" t="s">
        <v>1284</v>
      </c>
      <c r="D73" s="19" t="s">
        <v>1285</v>
      </c>
      <c r="E73" s="17" t="s">
        <v>1286</v>
      </c>
      <c r="F73" s="17">
        <f t="shared" si="1"/>
        <v>2</v>
      </c>
    </row>
    <row r="74" spans="1:6" ht="15" customHeight="1" x14ac:dyDescent="0.3">
      <c r="A74" s="17" t="s">
        <v>1287</v>
      </c>
      <c r="B74" s="17" t="s">
        <v>1264</v>
      </c>
      <c r="C74" s="17" t="s">
        <v>1288</v>
      </c>
      <c r="D74" s="19" t="s">
        <v>1289</v>
      </c>
      <c r="E74" s="17" t="s">
        <v>579</v>
      </c>
      <c r="F74" s="17">
        <f t="shared" si="1"/>
        <v>1</v>
      </c>
    </row>
    <row r="75" spans="1:6" ht="15" customHeight="1" x14ac:dyDescent="0.3">
      <c r="A75" s="17" t="s">
        <v>1290</v>
      </c>
      <c r="B75" s="17" t="s">
        <v>1264</v>
      </c>
      <c r="C75" s="17" t="s">
        <v>1291</v>
      </c>
      <c r="D75" s="19" t="s">
        <v>1292</v>
      </c>
      <c r="E75" s="17" t="s">
        <v>579</v>
      </c>
      <c r="F75" s="17">
        <f t="shared" si="1"/>
        <v>1</v>
      </c>
    </row>
    <row r="76" spans="1:6" ht="15" customHeight="1" x14ac:dyDescent="0.3">
      <c r="A76" s="17" t="s">
        <v>1293</v>
      </c>
      <c r="B76" s="17" t="s">
        <v>1264</v>
      </c>
      <c r="C76" s="17" t="s">
        <v>1294</v>
      </c>
      <c r="D76" s="19" t="s">
        <v>1295</v>
      </c>
      <c r="E76" s="17" t="s">
        <v>579</v>
      </c>
      <c r="F76" s="17">
        <f t="shared" si="1"/>
        <v>1</v>
      </c>
    </row>
    <row r="77" spans="1:6" ht="15" customHeight="1" x14ac:dyDescent="0.3">
      <c r="A77" s="17" t="s">
        <v>1296</v>
      </c>
      <c r="B77" s="17" t="s">
        <v>1264</v>
      </c>
      <c r="C77" s="17" t="s">
        <v>1297</v>
      </c>
      <c r="D77" s="17" t="s">
        <v>1298</v>
      </c>
      <c r="E77" s="17" t="s">
        <v>579</v>
      </c>
      <c r="F77" s="17">
        <f t="shared" si="1"/>
        <v>1</v>
      </c>
    </row>
    <row r="78" spans="1:6" ht="15" customHeight="1" x14ac:dyDescent="0.3">
      <c r="A78" s="17" t="s">
        <v>1299</v>
      </c>
      <c r="B78" s="17" t="s">
        <v>1264</v>
      </c>
      <c r="C78" s="17" t="s">
        <v>1300</v>
      </c>
      <c r="D78" s="19" t="s">
        <v>1301</v>
      </c>
      <c r="E78" s="17" t="s">
        <v>579</v>
      </c>
      <c r="F78" s="17">
        <f t="shared" si="1"/>
        <v>1</v>
      </c>
    </row>
    <row r="79" spans="1:6" ht="15" customHeight="1" x14ac:dyDescent="0.3">
      <c r="A79" s="17" t="s">
        <v>1302</v>
      </c>
      <c r="B79" s="17" t="s">
        <v>1264</v>
      </c>
      <c r="C79" s="17" t="s">
        <v>1303</v>
      </c>
      <c r="D79" s="19" t="s">
        <v>1304</v>
      </c>
      <c r="E79" s="17" t="s">
        <v>1305</v>
      </c>
      <c r="F79" s="17">
        <f t="shared" si="1"/>
        <v>2</v>
      </c>
    </row>
    <row r="80" spans="1:6" ht="15" customHeight="1" x14ac:dyDescent="0.3">
      <c r="A80" s="17" t="s">
        <v>1306</v>
      </c>
      <c r="B80" s="17" t="s">
        <v>1264</v>
      </c>
      <c r="C80" s="17" t="s">
        <v>1307</v>
      </c>
      <c r="D80" s="19" t="s">
        <v>1308</v>
      </c>
      <c r="E80" s="17" t="s">
        <v>1309</v>
      </c>
      <c r="F80" s="17">
        <f t="shared" si="1"/>
        <v>2</v>
      </c>
    </row>
    <row r="81" spans="1:6" ht="15" customHeight="1" x14ac:dyDescent="0.3">
      <c r="A81" s="17" t="s">
        <v>1310</v>
      </c>
      <c r="B81" s="17" t="s">
        <v>1264</v>
      </c>
      <c r="C81" s="17" t="s">
        <v>1311</v>
      </c>
      <c r="D81" s="19" t="s">
        <v>1312</v>
      </c>
      <c r="E81" s="17" t="s">
        <v>1313</v>
      </c>
      <c r="F81" s="17">
        <f t="shared" si="1"/>
        <v>2</v>
      </c>
    </row>
    <row r="82" spans="1:6" ht="15" customHeight="1" x14ac:dyDescent="0.3">
      <c r="A82" s="17" t="s">
        <v>1314</v>
      </c>
      <c r="B82" s="17" t="s">
        <v>1264</v>
      </c>
      <c r="C82" s="17" t="s">
        <v>1315</v>
      </c>
      <c r="D82" s="17" t="s">
        <v>1270</v>
      </c>
      <c r="E82" s="17" t="s">
        <v>1316</v>
      </c>
      <c r="F82" s="17">
        <f t="shared" si="1"/>
        <v>2</v>
      </c>
    </row>
    <row r="83" spans="1:6" ht="15" customHeight="1" x14ac:dyDescent="0.3">
      <c r="A83" s="17" t="s">
        <v>1317</v>
      </c>
      <c r="B83" s="17" t="s">
        <v>1318</v>
      </c>
      <c r="C83" s="19" t="s">
        <v>1319</v>
      </c>
      <c r="D83" s="19" t="s">
        <v>1320</v>
      </c>
      <c r="E83" s="17" t="s">
        <v>253</v>
      </c>
      <c r="F83" s="17">
        <f t="shared" si="1"/>
        <v>1</v>
      </c>
    </row>
    <row r="84" spans="1:6" ht="15" customHeight="1" x14ac:dyDescent="0.3">
      <c r="A84" s="17" t="s">
        <v>1321</v>
      </c>
      <c r="B84" s="17" t="s">
        <v>1318</v>
      </c>
      <c r="C84" s="19" t="s">
        <v>1322</v>
      </c>
      <c r="D84" s="17"/>
      <c r="E84" s="17" t="s">
        <v>253</v>
      </c>
      <c r="F84" s="17">
        <f t="shared" si="1"/>
        <v>1</v>
      </c>
    </row>
    <row r="85" spans="1:6" ht="15" customHeight="1" x14ac:dyDescent="0.3">
      <c r="A85" s="17" t="s">
        <v>1323</v>
      </c>
      <c r="B85" s="17" t="s">
        <v>1318</v>
      </c>
      <c r="C85" s="19" t="s">
        <v>1324</v>
      </c>
      <c r="D85" s="19" t="s">
        <v>1325</v>
      </c>
      <c r="E85" s="17" t="s">
        <v>590</v>
      </c>
      <c r="F85" s="17">
        <f t="shared" si="1"/>
        <v>1</v>
      </c>
    </row>
    <row r="86" spans="1:6" ht="15" customHeight="1" x14ac:dyDescent="0.3">
      <c r="A86" s="17" t="s">
        <v>1326</v>
      </c>
      <c r="B86" s="17" t="s">
        <v>1318</v>
      </c>
      <c r="C86" s="19" t="s">
        <v>1327</v>
      </c>
      <c r="D86" s="19" t="s">
        <v>1328</v>
      </c>
      <c r="E86" s="17" t="s">
        <v>596</v>
      </c>
      <c r="F86" s="17">
        <f t="shared" si="1"/>
        <v>1</v>
      </c>
    </row>
    <row r="87" spans="1:6" ht="15" customHeight="1" x14ac:dyDescent="0.3">
      <c r="A87" s="17" t="s">
        <v>1329</v>
      </c>
      <c r="B87" s="17" t="s">
        <v>1318</v>
      </c>
      <c r="C87" s="19" t="s">
        <v>1330</v>
      </c>
      <c r="D87" s="19" t="s">
        <v>1331</v>
      </c>
      <c r="E87" s="17" t="s">
        <v>1063</v>
      </c>
      <c r="F87" s="17">
        <f t="shared" si="1"/>
        <v>7</v>
      </c>
    </row>
    <row r="88" spans="1:6" ht="29.25" customHeight="1" x14ac:dyDescent="0.3">
      <c r="A88" s="17" t="s">
        <v>1332</v>
      </c>
      <c r="B88" s="17" t="s">
        <v>1333</v>
      </c>
      <c r="C88" s="19" t="s">
        <v>1334</v>
      </c>
      <c r="D88" s="19" t="s">
        <v>1335</v>
      </c>
      <c r="E88" s="17" t="s">
        <v>1336</v>
      </c>
      <c r="F88" s="17">
        <f t="shared" si="1"/>
        <v>2</v>
      </c>
    </row>
    <row r="89" spans="1:6" ht="15" customHeight="1" x14ac:dyDescent="0.3">
      <c r="A89" s="17" t="s">
        <v>1337</v>
      </c>
      <c r="B89" s="17" t="s">
        <v>1333</v>
      </c>
      <c r="C89" s="17" t="s">
        <v>1338</v>
      </c>
      <c r="D89" s="17"/>
      <c r="E89" s="17" t="s">
        <v>1339</v>
      </c>
      <c r="F89" s="17">
        <f t="shared" si="1"/>
        <v>2</v>
      </c>
    </row>
    <row r="90" spans="1:6" ht="15" customHeight="1" x14ac:dyDescent="0.3">
      <c r="A90" s="17" t="s">
        <v>1340</v>
      </c>
      <c r="B90" s="17" t="s">
        <v>1333</v>
      </c>
      <c r="C90" s="17" t="s">
        <v>1341</v>
      </c>
      <c r="D90" s="19" t="s">
        <v>1342</v>
      </c>
      <c r="E90" s="17" t="s">
        <v>224</v>
      </c>
      <c r="F90" s="17">
        <f t="shared" si="1"/>
        <v>1</v>
      </c>
    </row>
    <row r="91" spans="1:6" ht="15" customHeight="1" x14ac:dyDescent="0.3">
      <c r="A91" s="17" t="s">
        <v>1343</v>
      </c>
      <c r="B91" s="17" t="s">
        <v>1333</v>
      </c>
      <c r="C91" s="17" t="s">
        <v>1344</v>
      </c>
      <c r="D91" s="17" t="s">
        <v>1345</v>
      </c>
      <c r="E91" s="17" t="s">
        <v>292</v>
      </c>
      <c r="F91" s="17">
        <f t="shared" si="1"/>
        <v>1</v>
      </c>
    </row>
    <row r="92" spans="1:6" ht="15" customHeight="1" x14ac:dyDescent="0.3">
      <c r="A92" s="17" t="s">
        <v>1346</v>
      </c>
      <c r="B92" s="17" t="s">
        <v>1333</v>
      </c>
      <c r="C92" s="17" t="s">
        <v>1347</v>
      </c>
      <c r="D92" s="19" t="s">
        <v>1348</v>
      </c>
      <c r="E92" s="17" t="s">
        <v>338</v>
      </c>
      <c r="F92" s="17">
        <f t="shared" si="1"/>
        <v>1</v>
      </c>
    </row>
    <row r="93" spans="1:6" ht="29.25" customHeight="1" x14ac:dyDescent="0.3">
      <c r="A93" s="17" t="s">
        <v>1349</v>
      </c>
      <c r="B93" s="17" t="s">
        <v>1333</v>
      </c>
      <c r="C93" s="19" t="s">
        <v>1350</v>
      </c>
      <c r="D93" s="19" t="s">
        <v>1351</v>
      </c>
      <c r="E93" s="17" t="s">
        <v>236</v>
      </c>
      <c r="F93" s="17">
        <f t="shared" si="1"/>
        <v>1</v>
      </c>
    </row>
    <row r="94" spans="1:6" ht="15" customHeight="1" x14ac:dyDescent="0.3">
      <c r="A94" s="17" t="s">
        <v>1352</v>
      </c>
      <c r="B94" s="17" t="s">
        <v>1333</v>
      </c>
      <c r="C94" s="19" t="s">
        <v>1353</v>
      </c>
      <c r="D94" s="17"/>
      <c r="E94" s="17" t="s">
        <v>236</v>
      </c>
      <c r="F94" s="17">
        <f t="shared" si="1"/>
        <v>1</v>
      </c>
    </row>
    <row r="95" spans="1:6" ht="15" customHeight="1" x14ac:dyDescent="0.3">
      <c r="A95" s="17" t="s">
        <v>1354</v>
      </c>
      <c r="B95" s="17" t="s">
        <v>741</v>
      </c>
      <c r="C95" s="19" t="s">
        <v>1355</v>
      </c>
      <c r="D95" s="19" t="s">
        <v>1356</v>
      </c>
      <c r="E95" s="17" t="s">
        <v>1357</v>
      </c>
      <c r="F95" s="17">
        <f t="shared" si="1"/>
        <v>2</v>
      </c>
    </row>
    <row r="96" spans="1:6" ht="15" customHeight="1" x14ac:dyDescent="0.3">
      <c r="A96" s="17" t="s">
        <v>1358</v>
      </c>
      <c r="B96" s="17" t="s">
        <v>741</v>
      </c>
      <c r="C96" s="19" t="s">
        <v>1359</v>
      </c>
      <c r="D96" s="19" t="s">
        <v>1360</v>
      </c>
      <c r="E96" s="17" t="s">
        <v>704</v>
      </c>
      <c r="F96" s="17">
        <f t="shared" si="1"/>
        <v>1</v>
      </c>
    </row>
    <row r="97" spans="1:6" ht="15" customHeight="1" x14ac:dyDescent="0.3">
      <c r="A97" s="17" t="s">
        <v>1361</v>
      </c>
      <c r="B97" s="17" t="s">
        <v>741</v>
      </c>
      <c r="C97" s="19" t="s">
        <v>1362</v>
      </c>
      <c r="D97" s="19" t="s">
        <v>1363</v>
      </c>
      <c r="E97" s="17" t="s">
        <v>1364</v>
      </c>
      <c r="F97" s="17">
        <f t="shared" si="1"/>
        <v>2</v>
      </c>
    </row>
    <row r="98" spans="1:6" ht="15" customHeight="1" x14ac:dyDescent="0.3">
      <c r="A98" s="17" t="s">
        <v>1365</v>
      </c>
      <c r="B98" s="17" t="s">
        <v>741</v>
      </c>
      <c r="C98" s="17" t="s">
        <v>1366</v>
      </c>
      <c r="D98" s="17"/>
      <c r="E98" s="17" t="s">
        <v>350</v>
      </c>
      <c r="F98" s="17">
        <f t="shared" si="1"/>
        <v>1</v>
      </c>
    </row>
    <row r="99" spans="1:6" ht="15" customHeight="1" x14ac:dyDescent="0.3">
      <c r="A99" s="17" t="s">
        <v>1367</v>
      </c>
      <c r="B99" s="17" t="s">
        <v>741</v>
      </c>
      <c r="C99" s="17" t="s">
        <v>1368</v>
      </c>
      <c r="D99" s="17"/>
      <c r="E99" s="17" t="s">
        <v>358</v>
      </c>
      <c r="F99" s="17">
        <f t="shared" si="1"/>
        <v>1</v>
      </c>
    </row>
    <row r="100" spans="1:6" ht="15" customHeight="1" x14ac:dyDescent="0.3">
      <c r="A100" s="17" t="s">
        <v>1369</v>
      </c>
      <c r="B100" s="17" t="s">
        <v>741</v>
      </c>
      <c r="C100" s="17" t="s">
        <v>1370</v>
      </c>
      <c r="D100" s="17"/>
      <c r="E100" s="17" t="s">
        <v>391</v>
      </c>
      <c r="F100" s="17">
        <f t="shared" si="1"/>
        <v>1</v>
      </c>
    </row>
    <row r="101" spans="1:6" ht="15" customHeight="1" x14ac:dyDescent="0.3">
      <c r="A101" s="17" t="s">
        <v>1371</v>
      </c>
      <c r="B101" s="17" t="s">
        <v>741</v>
      </c>
      <c r="C101" s="17" t="s">
        <v>909</v>
      </c>
      <c r="D101" s="17"/>
      <c r="E101" s="17" t="s">
        <v>704</v>
      </c>
      <c r="F101" s="17">
        <f t="shared" si="1"/>
        <v>1</v>
      </c>
    </row>
    <row r="102" spans="1:6" ht="15" customHeight="1" x14ac:dyDescent="0.3">
      <c r="A102" s="17" t="s">
        <v>1372</v>
      </c>
      <c r="B102" s="17" t="s">
        <v>741</v>
      </c>
      <c r="C102" s="17" t="s">
        <v>1373</v>
      </c>
      <c r="D102" s="17"/>
      <c r="E102" s="17" t="s">
        <v>704</v>
      </c>
      <c r="F102" s="17">
        <f t="shared" si="1"/>
        <v>1</v>
      </c>
    </row>
    <row r="103" spans="1:6" ht="15" customHeight="1" x14ac:dyDescent="0.3">
      <c r="A103" s="17" t="s">
        <v>1374</v>
      </c>
      <c r="B103" s="17" t="s">
        <v>741</v>
      </c>
      <c r="C103" s="17" t="s">
        <v>1375</v>
      </c>
      <c r="D103" s="17"/>
      <c r="E103" s="17" t="s">
        <v>1376</v>
      </c>
      <c r="F103" s="17">
        <f t="shared" si="1"/>
        <v>3</v>
      </c>
    </row>
    <row r="104" spans="1:6" ht="15" customHeight="1" x14ac:dyDescent="0.3">
      <c r="A104" s="17" t="s">
        <v>1377</v>
      </c>
      <c r="B104" s="17" t="s">
        <v>741</v>
      </c>
      <c r="C104" s="17" t="s">
        <v>1378</v>
      </c>
      <c r="D104" s="17"/>
      <c r="E104" s="17" t="s">
        <v>738</v>
      </c>
      <c r="F104" s="17">
        <f t="shared" si="1"/>
        <v>1</v>
      </c>
    </row>
    <row r="105" spans="1:6" ht="15" customHeight="1" x14ac:dyDescent="0.3">
      <c r="A105" s="17" t="s">
        <v>1379</v>
      </c>
      <c r="B105" s="17" t="s">
        <v>741</v>
      </c>
      <c r="C105" s="17" t="s">
        <v>1380</v>
      </c>
      <c r="D105" s="17"/>
      <c r="E105" s="17" t="s">
        <v>746</v>
      </c>
      <c r="F105" s="17">
        <f t="shared" si="1"/>
        <v>1</v>
      </c>
    </row>
    <row r="106" spans="1:6" ht="15" customHeight="1" x14ac:dyDescent="0.3">
      <c r="A106" s="17" t="s">
        <v>1381</v>
      </c>
      <c r="B106" s="17" t="s">
        <v>741</v>
      </c>
      <c r="C106" s="17" t="s">
        <v>1382</v>
      </c>
      <c r="D106" s="17"/>
      <c r="E106" s="17" t="s">
        <v>751</v>
      </c>
      <c r="F106" s="17">
        <f t="shared" si="1"/>
        <v>1</v>
      </c>
    </row>
    <row r="107" spans="1:6" ht="15" customHeight="1" x14ac:dyDescent="0.3">
      <c r="A107" s="17" t="s">
        <v>1383</v>
      </c>
      <c r="B107" s="17" t="s">
        <v>741</v>
      </c>
      <c r="C107" s="17" t="s">
        <v>1384</v>
      </c>
      <c r="D107" s="17"/>
      <c r="E107" s="17" t="s">
        <v>756</v>
      </c>
      <c r="F107" s="17">
        <f t="shared" si="1"/>
        <v>1</v>
      </c>
    </row>
    <row r="108" spans="1:6" ht="15" customHeight="1" x14ac:dyDescent="0.3">
      <c r="A108" s="17" t="s">
        <v>1385</v>
      </c>
      <c r="B108" s="17" t="s">
        <v>741</v>
      </c>
      <c r="C108" s="17" t="s">
        <v>1386</v>
      </c>
      <c r="D108" s="19" t="s">
        <v>1387</v>
      </c>
      <c r="E108" s="17" t="s">
        <v>761</v>
      </c>
      <c r="F108" s="17">
        <f t="shared" si="1"/>
        <v>1</v>
      </c>
    </row>
    <row r="109" spans="1:6" ht="15" customHeight="1" x14ac:dyDescent="0.3">
      <c r="A109" s="17" t="s">
        <v>1388</v>
      </c>
      <c r="B109" s="17" t="s">
        <v>741</v>
      </c>
      <c r="C109" s="17" t="s">
        <v>1389</v>
      </c>
      <c r="D109" s="19" t="s">
        <v>1390</v>
      </c>
      <c r="E109" s="17" t="s">
        <v>1391</v>
      </c>
      <c r="F109" s="17">
        <f t="shared" si="1"/>
        <v>3</v>
      </c>
    </row>
    <row r="110" spans="1:6" ht="15" customHeight="1" x14ac:dyDescent="0.3">
      <c r="A110" s="17" t="s">
        <v>1392</v>
      </c>
      <c r="B110" s="17" t="s">
        <v>741</v>
      </c>
      <c r="C110" s="17" t="s">
        <v>1393</v>
      </c>
      <c r="D110" s="19" t="s">
        <v>1394</v>
      </c>
      <c r="E110" s="17" t="s">
        <v>712</v>
      </c>
      <c r="F110" s="17">
        <f t="shared" si="1"/>
        <v>1</v>
      </c>
    </row>
    <row r="111" spans="1:6" ht="15" customHeight="1" x14ac:dyDescent="0.3">
      <c r="A111" s="17" t="s">
        <v>1395</v>
      </c>
      <c r="B111" s="17" t="s">
        <v>741</v>
      </c>
      <c r="C111" s="17" t="s">
        <v>1396</v>
      </c>
      <c r="D111" s="17"/>
      <c r="E111" s="17" t="s">
        <v>712</v>
      </c>
      <c r="F111" s="17">
        <f t="shared" si="1"/>
        <v>1</v>
      </c>
    </row>
    <row r="112" spans="1:6" ht="15" customHeight="1" x14ac:dyDescent="0.3">
      <c r="A112" s="17" t="s">
        <v>1397</v>
      </c>
      <c r="B112" s="17" t="s">
        <v>741</v>
      </c>
      <c r="C112" s="17" t="s">
        <v>1398</v>
      </c>
      <c r="D112" s="17"/>
      <c r="E112" s="17" t="s">
        <v>712</v>
      </c>
      <c r="F112" s="17">
        <f t="shared" si="1"/>
        <v>1</v>
      </c>
    </row>
    <row r="113" spans="1:6" ht="15" customHeight="1" x14ac:dyDescent="0.3">
      <c r="A113" s="17" t="s">
        <v>1399</v>
      </c>
      <c r="B113" s="17" t="s">
        <v>741</v>
      </c>
      <c r="C113" s="19" t="s">
        <v>1400</v>
      </c>
      <c r="D113" s="17"/>
      <c r="E113" s="17" t="s">
        <v>778</v>
      </c>
      <c r="F113" s="17">
        <f t="shared" si="1"/>
        <v>1</v>
      </c>
    </row>
    <row r="114" spans="1:6" ht="15" customHeight="1" x14ac:dyDescent="0.3">
      <c r="A114" s="17" t="s">
        <v>1401</v>
      </c>
      <c r="B114" s="17" t="s">
        <v>562</v>
      </c>
      <c r="C114" s="17" t="s">
        <v>1402</v>
      </c>
      <c r="D114" s="19" t="s">
        <v>1403</v>
      </c>
      <c r="E114" s="17" t="s">
        <v>332</v>
      </c>
      <c r="F114" s="17">
        <f t="shared" si="1"/>
        <v>1</v>
      </c>
    </row>
    <row r="115" spans="1:6" ht="15" customHeight="1" x14ac:dyDescent="0.3">
      <c r="A115" s="17" t="s">
        <v>1404</v>
      </c>
      <c r="B115" s="17" t="s">
        <v>562</v>
      </c>
      <c r="C115" s="19" t="s">
        <v>1405</v>
      </c>
      <c r="D115" s="19" t="s">
        <v>1406</v>
      </c>
      <c r="E115" s="17" t="s">
        <v>1407</v>
      </c>
      <c r="F115" s="17">
        <f t="shared" si="1"/>
        <v>2</v>
      </c>
    </row>
    <row r="116" spans="1:6" ht="15" customHeight="1" x14ac:dyDescent="0.3">
      <c r="A116" s="17" t="s">
        <v>1408</v>
      </c>
      <c r="B116" s="17" t="s">
        <v>562</v>
      </c>
      <c r="C116" s="19" t="s">
        <v>1409</v>
      </c>
      <c r="D116" s="17" t="s">
        <v>1410</v>
      </c>
      <c r="E116" s="17" t="s">
        <v>1407</v>
      </c>
      <c r="F116" s="17">
        <f t="shared" si="1"/>
        <v>2</v>
      </c>
    </row>
    <row r="117" spans="1:6" ht="15" customHeight="1" x14ac:dyDescent="0.3">
      <c r="A117" s="17" t="s">
        <v>1411</v>
      </c>
      <c r="B117" s="17" t="s">
        <v>562</v>
      </c>
      <c r="C117" s="19" t="s">
        <v>1412</v>
      </c>
      <c r="D117" s="19" t="s">
        <v>1413</v>
      </c>
      <c r="E117" s="17" t="s">
        <v>1407</v>
      </c>
      <c r="F117" s="17">
        <f t="shared" si="1"/>
        <v>2</v>
      </c>
    </row>
    <row r="118" spans="1:6" ht="15" customHeight="1" x14ac:dyDescent="0.3">
      <c r="A118" s="17" t="s">
        <v>1414</v>
      </c>
      <c r="B118" s="17" t="s">
        <v>562</v>
      </c>
      <c r="C118" s="19" t="s">
        <v>1415</v>
      </c>
      <c r="D118" s="19" t="s">
        <v>1416</v>
      </c>
      <c r="E118" s="17" t="s">
        <v>1407</v>
      </c>
      <c r="F118" s="17">
        <f t="shared" si="1"/>
        <v>2</v>
      </c>
    </row>
    <row r="119" spans="1:6" ht="15" customHeight="1" x14ac:dyDescent="0.3">
      <c r="A119" s="17" t="s">
        <v>1417</v>
      </c>
      <c r="B119" s="17" t="s">
        <v>562</v>
      </c>
      <c r="C119" s="19" t="s">
        <v>1418</v>
      </c>
      <c r="D119" s="19" t="s">
        <v>1419</v>
      </c>
      <c r="E119" s="17" t="s">
        <v>1420</v>
      </c>
      <c r="F119" s="17">
        <f t="shared" si="1"/>
        <v>3</v>
      </c>
    </row>
    <row r="120" spans="1:6" ht="15" customHeight="1" x14ac:dyDescent="0.3">
      <c r="A120" s="17" t="s">
        <v>1421</v>
      </c>
      <c r="B120" s="17" t="s">
        <v>562</v>
      </c>
      <c r="C120" s="19" t="s">
        <v>1422</v>
      </c>
      <c r="D120" s="19" t="s">
        <v>1423</v>
      </c>
      <c r="E120" s="17" t="s">
        <v>561</v>
      </c>
      <c r="F120" s="17">
        <f t="shared" si="1"/>
        <v>1</v>
      </c>
    </row>
    <row r="121" spans="1:6" ht="15" customHeight="1" x14ac:dyDescent="0.3">
      <c r="A121" s="17" t="s">
        <v>1424</v>
      </c>
      <c r="B121" s="17" t="s">
        <v>562</v>
      </c>
      <c r="C121" s="19" t="s">
        <v>1425</v>
      </c>
      <c r="D121" s="19" t="s">
        <v>1426</v>
      </c>
      <c r="E121" s="17" t="s">
        <v>1427</v>
      </c>
      <c r="F121" s="17">
        <f t="shared" si="1"/>
        <v>2</v>
      </c>
    </row>
    <row r="122" spans="1:6" ht="15" customHeight="1" x14ac:dyDescent="0.3">
      <c r="A122" s="17" t="s">
        <v>1428</v>
      </c>
      <c r="B122" s="17" t="s">
        <v>562</v>
      </c>
      <c r="C122" s="19" t="s">
        <v>1429</v>
      </c>
      <c r="D122" s="17"/>
      <c r="E122" s="17" t="s">
        <v>567</v>
      </c>
      <c r="F122" s="17">
        <f t="shared" si="1"/>
        <v>1</v>
      </c>
    </row>
    <row r="123" spans="1:6" ht="15" customHeight="1" x14ac:dyDescent="0.3">
      <c r="A123" s="17" t="s">
        <v>1430</v>
      </c>
      <c r="B123" s="17" t="s">
        <v>562</v>
      </c>
      <c r="C123" s="19" t="s">
        <v>1431</v>
      </c>
      <c r="D123" s="19" t="s">
        <v>1432</v>
      </c>
      <c r="E123" s="17" t="s">
        <v>561</v>
      </c>
      <c r="F123" s="17">
        <f t="shared" si="1"/>
        <v>1</v>
      </c>
    </row>
    <row r="124" spans="1:6" ht="15" customHeight="1" x14ac:dyDescent="0.3">
      <c r="A124" s="17" t="s">
        <v>1433</v>
      </c>
      <c r="B124" s="17" t="s">
        <v>562</v>
      </c>
      <c r="C124" s="17" t="s">
        <v>1434</v>
      </c>
      <c r="D124" s="17" t="s">
        <v>1435</v>
      </c>
      <c r="E124" s="17" t="s">
        <v>606</v>
      </c>
      <c r="F124" s="17">
        <f t="shared" si="1"/>
        <v>1</v>
      </c>
    </row>
    <row r="125" spans="1:6" ht="15" customHeight="1" x14ac:dyDescent="0.3">
      <c r="A125" s="17" t="s">
        <v>1436</v>
      </c>
      <c r="B125" s="17" t="s">
        <v>562</v>
      </c>
      <c r="C125" s="17" t="s">
        <v>1437</v>
      </c>
      <c r="D125" s="19" t="s">
        <v>1438</v>
      </c>
      <c r="E125" s="17" t="s">
        <v>1439</v>
      </c>
      <c r="F125" s="17">
        <f t="shared" si="1"/>
        <v>2</v>
      </c>
    </row>
    <row r="126" spans="1:6" ht="15" customHeight="1" x14ac:dyDescent="0.3">
      <c r="A126" s="17" t="s">
        <v>1440</v>
      </c>
      <c r="B126" s="17" t="s">
        <v>562</v>
      </c>
      <c r="C126" s="17" t="s">
        <v>1441</v>
      </c>
      <c r="D126" s="17" t="s">
        <v>1442</v>
      </c>
      <c r="E126" s="17" t="s">
        <v>612</v>
      </c>
      <c r="F126" s="17">
        <f t="shared" si="1"/>
        <v>1</v>
      </c>
    </row>
    <row r="127" spans="1:6" ht="15" customHeight="1" x14ac:dyDescent="0.3">
      <c r="A127" s="17" t="s">
        <v>1443</v>
      </c>
      <c r="B127" s="17" t="s">
        <v>562</v>
      </c>
      <c r="C127" s="17" t="s">
        <v>1444</v>
      </c>
      <c r="D127" s="19" t="s">
        <v>1445</v>
      </c>
      <c r="E127" s="17" t="s">
        <v>1446</v>
      </c>
      <c r="F127" s="17">
        <f t="shared" si="1"/>
        <v>4</v>
      </c>
    </row>
    <row r="128" spans="1:6" ht="15" customHeight="1" x14ac:dyDescent="0.3">
      <c r="A128" s="17" t="s">
        <v>1447</v>
      </c>
      <c r="B128" s="17" t="s">
        <v>562</v>
      </c>
      <c r="C128" s="17" t="s">
        <v>1448</v>
      </c>
      <c r="D128" s="17"/>
      <c r="E128" s="17" t="s">
        <v>660</v>
      </c>
      <c r="F128" s="17">
        <f t="shared" si="1"/>
        <v>1</v>
      </c>
    </row>
    <row r="129" spans="1:6" ht="15" customHeight="1" x14ac:dyDescent="0.3">
      <c r="A129" s="17" t="s">
        <v>1449</v>
      </c>
      <c r="B129" s="17" t="s">
        <v>562</v>
      </c>
      <c r="C129" s="19" t="s">
        <v>1450</v>
      </c>
      <c r="D129" s="19" t="s">
        <v>1451</v>
      </c>
      <c r="E129" s="17" t="s">
        <v>612</v>
      </c>
      <c r="F129" s="17">
        <f t="shared" si="1"/>
        <v>1</v>
      </c>
    </row>
    <row r="130" spans="1:6" ht="15" customHeight="1" x14ac:dyDescent="0.3">
      <c r="A130" s="17" t="s">
        <v>1452</v>
      </c>
      <c r="B130" s="17" t="s">
        <v>562</v>
      </c>
      <c r="C130" s="19" t="s">
        <v>1453</v>
      </c>
      <c r="D130" s="19" t="s">
        <v>1454</v>
      </c>
      <c r="E130" s="17" t="s">
        <v>606</v>
      </c>
      <c r="F130" s="17">
        <f t="shared" si="1"/>
        <v>1</v>
      </c>
    </row>
    <row r="131" spans="1:6" ht="15" customHeight="1" x14ac:dyDescent="0.3">
      <c r="A131" s="17" t="s">
        <v>1455</v>
      </c>
      <c r="B131" s="17" t="s">
        <v>562</v>
      </c>
      <c r="C131" s="19" t="s">
        <v>1456</v>
      </c>
      <c r="D131" s="19" t="s">
        <v>1457</v>
      </c>
      <c r="E131" s="17" t="s">
        <v>612</v>
      </c>
      <c r="F131" s="17">
        <f t="shared" si="1"/>
        <v>1</v>
      </c>
    </row>
    <row r="132" spans="1:6" ht="15" customHeight="1" x14ac:dyDescent="0.3">
      <c r="A132" s="17" t="s">
        <v>1458</v>
      </c>
      <c r="B132" s="17" t="s">
        <v>562</v>
      </c>
      <c r="C132" s="19" t="s">
        <v>1459</v>
      </c>
      <c r="D132" s="17" t="s">
        <v>1460</v>
      </c>
      <c r="E132" s="17" t="s">
        <v>626</v>
      </c>
      <c r="F132" s="17">
        <f t="shared" si="1"/>
        <v>1</v>
      </c>
    </row>
    <row r="133" spans="1:6" ht="15" customHeight="1" x14ac:dyDescent="0.3">
      <c r="A133" s="17" t="s">
        <v>1461</v>
      </c>
      <c r="B133" s="17" t="s">
        <v>146</v>
      </c>
      <c r="C133" s="19" t="s">
        <v>1462</v>
      </c>
      <c r="D133" s="19" t="s">
        <v>1463</v>
      </c>
      <c r="E133" s="17" t="s">
        <v>683</v>
      </c>
      <c r="F133" s="17">
        <f t="shared" ref="F133:F196" si="2">IF(TRIM(E133)="",0,LEN(E133)-LEN(SUBSTITUTE(E133,",",""))+1)</f>
        <v>1</v>
      </c>
    </row>
    <row r="134" spans="1:6" ht="15" customHeight="1" x14ac:dyDescent="0.3">
      <c r="A134" s="17" t="s">
        <v>1464</v>
      </c>
      <c r="B134" s="17" t="s">
        <v>146</v>
      </c>
      <c r="C134" s="19" t="s">
        <v>1465</v>
      </c>
      <c r="D134" s="19" t="s">
        <v>1466</v>
      </c>
      <c r="E134" s="17" t="s">
        <v>664</v>
      </c>
      <c r="F134" s="17">
        <f t="shared" si="2"/>
        <v>1</v>
      </c>
    </row>
    <row r="135" spans="1:6" ht="15" customHeight="1" x14ac:dyDescent="0.3">
      <c r="A135" s="17" t="s">
        <v>1467</v>
      </c>
      <c r="B135" s="17" t="s">
        <v>146</v>
      </c>
      <c r="C135" s="19" t="s">
        <v>1468</v>
      </c>
      <c r="D135" s="19" t="s">
        <v>1469</v>
      </c>
      <c r="E135" s="17" t="s">
        <v>700</v>
      </c>
      <c r="F135" s="17">
        <f t="shared" si="2"/>
        <v>1</v>
      </c>
    </row>
    <row r="136" spans="1:6" ht="15" customHeight="1" x14ac:dyDescent="0.3">
      <c r="A136" s="17" t="s">
        <v>1470</v>
      </c>
      <c r="B136" s="17" t="s">
        <v>146</v>
      </c>
      <c r="C136" s="19" t="s">
        <v>1471</v>
      </c>
      <c r="D136" s="19" t="s">
        <v>1472</v>
      </c>
      <c r="E136" s="17" t="s">
        <v>671</v>
      </c>
      <c r="F136" s="17">
        <f t="shared" si="2"/>
        <v>1</v>
      </c>
    </row>
    <row r="137" spans="1:6" ht="15" customHeight="1" x14ac:dyDescent="0.3">
      <c r="A137" s="17" t="s">
        <v>1473</v>
      </c>
      <c r="B137" s="17" t="s">
        <v>146</v>
      </c>
      <c r="C137" s="19" t="s">
        <v>1474</v>
      </c>
      <c r="D137" s="19" t="s">
        <v>1475</v>
      </c>
      <c r="E137" s="17" t="s">
        <v>675</v>
      </c>
      <c r="F137" s="17">
        <f t="shared" si="2"/>
        <v>1</v>
      </c>
    </row>
    <row r="138" spans="1:6" ht="15" customHeight="1" x14ac:dyDescent="0.3">
      <c r="A138" s="17" t="s">
        <v>1476</v>
      </c>
      <c r="B138" s="17" t="s">
        <v>146</v>
      </c>
      <c r="C138" s="19" t="s">
        <v>1477</v>
      </c>
      <c r="D138" s="17"/>
      <c r="E138" s="17" t="s">
        <v>1043</v>
      </c>
      <c r="F138" s="17">
        <f t="shared" si="2"/>
        <v>2</v>
      </c>
    </row>
    <row r="139" spans="1:6" ht="15" customHeight="1" x14ac:dyDescent="0.3">
      <c r="A139" s="17" t="s">
        <v>1478</v>
      </c>
      <c r="B139" s="17" t="s">
        <v>161</v>
      </c>
      <c r="C139" s="17" t="s">
        <v>1479</v>
      </c>
      <c r="D139" s="17"/>
      <c r="E139" s="17" t="s">
        <v>1090</v>
      </c>
      <c r="F139" s="17">
        <f t="shared" si="2"/>
        <v>2</v>
      </c>
    </row>
    <row r="140" spans="1:6" ht="26.25" customHeight="1" x14ac:dyDescent="0.3">
      <c r="A140" s="17" t="s">
        <v>1480</v>
      </c>
      <c r="B140" s="17" t="s">
        <v>161</v>
      </c>
      <c r="C140" s="17" t="s">
        <v>1481</v>
      </c>
      <c r="D140" s="17"/>
      <c r="E140" s="17" t="s">
        <v>1482</v>
      </c>
      <c r="F140" s="17">
        <f t="shared" si="2"/>
        <v>4</v>
      </c>
    </row>
    <row r="141" spans="1:6" ht="15" customHeight="1" x14ac:dyDescent="0.3">
      <c r="A141" s="17" t="s">
        <v>1483</v>
      </c>
      <c r="B141" s="17" t="s">
        <v>161</v>
      </c>
      <c r="C141" s="17" t="s">
        <v>1484</v>
      </c>
      <c r="D141" s="17"/>
      <c r="E141" s="17" t="s">
        <v>1485</v>
      </c>
      <c r="F141" s="17">
        <f t="shared" si="2"/>
        <v>2</v>
      </c>
    </row>
    <row r="142" spans="1:6" ht="15" customHeight="1" x14ac:dyDescent="0.3">
      <c r="A142" s="17" t="s">
        <v>1486</v>
      </c>
      <c r="B142" s="17" t="s">
        <v>161</v>
      </c>
      <c r="C142" s="19" t="s">
        <v>1487</v>
      </c>
      <c r="D142" s="17"/>
      <c r="E142" s="17" t="s">
        <v>683</v>
      </c>
      <c r="F142" s="17">
        <f t="shared" si="2"/>
        <v>1</v>
      </c>
    </row>
    <row r="143" spans="1:6" ht="23.25" customHeight="1" x14ac:dyDescent="0.3">
      <c r="A143" s="17" t="s">
        <v>1488</v>
      </c>
      <c r="B143" s="17" t="s">
        <v>161</v>
      </c>
      <c r="C143" s="19" t="s">
        <v>1489</v>
      </c>
      <c r="D143" s="17"/>
      <c r="E143" s="17" t="s">
        <v>1490</v>
      </c>
      <c r="F143" s="17">
        <f t="shared" si="2"/>
        <v>11</v>
      </c>
    </row>
    <row r="144" spans="1:6" ht="29.25" customHeight="1" x14ac:dyDescent="0.3">
      <c r="A144" s="17" t="s">
        <v>1491</v>
      </c>
      <c r="B144" s="17" t="s">
        <v>161</v>
      </c>
      <c r="C144" s="19" t="s">
        <v>1492</v>
      </c>
      <c r="D144" s="19" t="s">
        <v>1493</v>
      </c>
      <c r="E144" s="17" t="s">
        <v>808</v>
      </c>
      <c r="F144" s="17">
        <f t="shared" si="2"/>
        <v>1</v>
      </c>
    </row>
    <row r="145" spans="1:6" ht="15" customHeight="1" x14ac:dyDescent="0.3">
      <c r="A145" s="17" t="s">
        <v>1494</v>
      </c>
      <c r="B145" s="17" t="s">
        <v>114</v>
      </c>
      <c r="C145" s="19" t="s">
        <v>1495</v>
      </c>
      <c r="D145" s="19" t="s">
        <v>1496</v>
      </c>
      <c r="E145" s="17" t="s">
        <v>112</v>
      </c>
      <c r="F145" s="17">
        <f t="shared" si="2"/>
        <v>1</v>
      </c>
    </row>
    <row r="146" spans="1:6" ht="15" customHeight="1" x14ac:dyDescent="0.3">
      <c r="A146" s="17" t="s">
        <v>1497</v>
      </c>
      <c r="B146" s="17" t="s">
        <v>114</v>
      </c>
      <c r="C146" s="19" t="s">
        <v>1498</v>
      </c>
      <c r="D146" s="17"/>
      <c r="E146" s="17" t="s">
        <v>112</v>
      </c>
      <c r="F146" s="17">
        <f t="shared" si="2"/>
        <v>1</v>
      </c>
    </row>
    <row r="147" spans="1:6" ht="15" customHeight="1" x14ac:dyDescent="0.3">
      <c r="A147" s="17" t="s">
        <v>1499</v>
      </c>
      <c r="B147" s="17" t="s">
        <v>114</v>
      </c>
      <c r="C147" s="19" t="s">
        <v>1500</v>
      </c>
      <c r="D147" s="17"/>
      <c r="E147" s="17" t="s">
        <v>112</v>
      </c>
      <c r="F147" s="17">
        <f t="shared" si="2"/>
        <v>1</v>
      </c>
    </row>
    <row r="148" spans="1:6" ht="15" customHeight="1" x14ac:dyDescent="0.3">
      <c r="A148" s="17" t="s">
        <v>1501</v>
      </c>
      <c r="B148" s="17" t="s">
        <v>114</v>
      </c>
      <c r="C148" s="19" t="s">
        <v>1502</v>
      </c>
      <c r="D148" s="17"/>
      <c r="E148" s="17" t="s">
        <v>112</v>
      </c>
      <c r="F148" s="17">
        <f t="shared" si="2"/>
        <v>1</v>
      </c>
    </row>
    <row r="149" spans="1:6" ht="15" customHeight="1" x14ac:dyDescent="0.3">
      <c r="A149" s="17" t="s">
        <v>1503</v>
      </c>
      <c r="B149" s="17" t="s">
        <v>114</v>
      </c>
      <c r="C149" s="17" t="s">
        <v>1504</v>
      </c>
      <c r="D149" s="17"/>
      <c r="E149" s="17" t="s">
        <v>119</v>
      </c>
      <c r="F149" s="17">
        <f t="shared" si="2"/>
        <v>1</v>
      </c>
    </row>
    <row r="150" spans="1:6" ht="15" customHeight="1" x14ac:dyDescent="0.3">
      <c r="A150" s="17" t="s">
        <v>1505</v>
      </c>
      <c r="B150" s="17" t="s">
        <v>114</v>
      </c>
      <c r="C150" s="17" t="s">
        <v>1506</v>
      </c>
      <c r="D150" s="17"/>
      <c r="E150" s="17" t="s">
        <v>119</v>
      </c>
      <c r="F150" s="17">
        <f t="shared" si="2"/>
        <v>1</v>
      </c>
    </row>
    <row r="151" spans="1:6" ht="15" customHeight="1" x14ac:dyDescent="0.3">
      <c r="A151" s="17" t="s">
        <v>1507</v>
      </c>
      <c r="B151" s="17" t="s">
        <v>114</v>
      </c>
      <c r="C151" s="19" t="s">
        <v>1508</v>
      </c>
      <c r="D151" s="17" t="s">
        <v>1509</v>
      </c>
      <c r="E151" s="17" t="s">
        <v>201</v>
      </c>
      <c r="F151" s="17">
        <f t="shared" si="2"/>
        <v>1</v>
      </c>
    </row>
    <row r="152" spans="1:6" ht="15" customHeight="1" x14ac:dyDescent="0.3">
      <c r="A152" s="17" t="s">
        <v>1510</v>
      </c>
      <c r="B152" s="17" t="s">
        <v>114</v>
      </c>
      <c r="C152" s="17" t="s">
        <v>1511</v>
      </c>
      <c r="D152" s="17"/>
      <c r="E152" s="17" t="s">
        <v>194</v>
      </c>
      <c r="F152" s="17">
        <f t="shared" si="2"/>
        <v>1</v>
      </c>
    </row>
    <row r="153" spans="1:6" ht="15" customHeight="1" x14ac:dyDescent="0.3">
      <c r="A153" s="17" t="s">
        <v>1512</v>
      </c>
      <c r="B153" s="17" t="s">
        <v>114</v>
      </c>
      <c r="C153" s="17" t="s">
        <v>1513</v>
      </c>
      <c r="D153" s="17"/>
      <c r="E153" s="17" t="s">
        <v>112</v>
      </c>
      <c r="F153" s="17">
        <f t="shared" si="2"/>
        <v>1</v>
      </c>
    </row>
    <row r="154" spans="1:6" ht="15" customHeight="1" x14ac:dyDescent="0.3">
      <c r="A154" s="17" t="s">
        <v>1514</v>
      </c>
      <c r="B154" s="17" t="s">
        <v>114</v>
      </c>
      <c r="C154" s="19" t="s">
        <v>1515</v>
      </c>
      <c r="D154" s="17"/>
      <c r="E154" s="17" t="s">
        <v>1516</v>
      </c>
      <c r="F154" s="17">
        <f t="shared" si="2"/>
        <v>2</v>
      </c>
    </row>
    <row r="155" spans="1:6" ht="15" customHeight="1" x14ac:dyDescent="0.3">
      <c r="A155" s="17" t="s">
        <v>1517</v>
      </c>
      <c r="B155" s="17" t="s">
        <v>479</v>
      </c>
      <c r="C155" s="19" t="s">
        <v>1518</v>
      </c>
      <c r="D155" s="19" t="s">
        <v>1519</v>
      </c>
      <c r="E155" s="17" t="s">
        <v>484</v>
      </c>
      <c r="F155" s="17">
        <f t="shared" si="2"/>
        <v>1</v>
      </c>
    </row>
    <row r="156" spans="1:6" ht="15" customHeight="1" x14ac:dyDescent="0.3">
      <c r="A156" s="17" t="s">
        <v>1520</v>
      </c>
      <c r="B156" s="17" t="s">
        <v>479</v>
      </c>
      <c r="C156" s="17" t="s">
        <v>1521</v>
      </c>
      <c r="D156" s="17"/>
      <c r="E156" s="17" t="s">
        <v>571</v>
      </c>
      <c r="F156" s="17">
        <f t="shared" si="2"/>
        <v>1</v>
      </c>
    </row>
    <row r="157" spans="1:6" ht="15" customHeight="1" x14ac:dyDescent="0.3">
      <c r="A157" s="17" t="s">
        <v>1522</v>
      </c>
      <c r="B157" s="17" t="s">
        <v>479</v>
      </c>
      <c r="C157" s="19" t="s">
        <v>1523</v>
      </c>
      <c r="D157" s="17"/>
      <c r="E157" s="17" t="s">
        <v>571</v>
      </c>
      <c r="F157" s="17">
        <f t="shared" si="2"/>
        <v>1</v>
      </c>
    </row>
    <row r="158" spans="1:6" ht="15" customHeight="1" x14ac:dyDescent="0.3">
      <c r="A158" s="17" t="s">
        <v>1524</v>
      </c>
      <c r="B158" s="17" t="s">
        <v>479</v>
      </c>
      <c r="C158" s="19" t="s">
        <v>1525</v>
      </c>
      <c r="D158" s="17"/>
      <c r="E158" s="17" t="s">
        <v>571</v>
      </c>
      <c r="F158" s="17">
        <f t="shared" si="2"/>
        <v>1</v>
      </c>
    </row>
    <row r="159" spans="1:6" ht="15" customHeight="1" x14ac:dyDescent="0.3">
      <c r="A159" s="17" t="s">
        <v>1526</v>
      </c>
      <c r="B159" s="17" t="s">
        <v>479</v>
      </c>
      <c r="C159" s="19" t="s">
        <v>1527</v>
      </c>
      <c r="D159" s="19" t="s">
        <v>1528</v>
      </c>
      <c r="E159" s="17" t="s">
        <v>575</v>
      </c>
      <c r="F159" s="17">
        <f t="shared" si="2"/>
        <v>1</v>
      </c>
    </row>
    <row r="160" spans="1:6" ht="15" customHeight="1" x14ac:dyDescent="0.3">
      <c r="A160" s="17" t="s">
        <v>1529</v>
      </c>
      <c r="B160" s="17" t="s">
        <v>479</v>
      </c>
      <c r="C160" s="19" t="s">
        <v>1530</v>
      </c>
      <c r="D160" s="17" t="s">
        <v>1531</v>
      </c>
      <c r="E160" s="17" t="s">
        <v>471</v>
      </c>
      <c r="F160" s="17">
        <f t="shared" si="2"/>
        <v>1</v>
      </c>
    </row>
    <row r="161" spans="1:6" ht="15" customHeight="1" x14ac:dyDescent="0.3">
      <c r="A161" s="17" t="s">
        <v>1532</v>
      </c>
      <c r="B161" s="17" t="s">
        <v>479</v>
      </c>
      <c r="C161" s="17" t="s">
        <v>1533</v>
      </c>
      <c r="D161" s="19" t="s">
        <v>1534</v>
      </c>
      <c r="E161" s="17" t="s">
        <v>477</v>
      </c>
      <c r="F161" s="17">
        <f t="shared" si="2"/>
        <v>1</v>
      </c>
    </row>
    <row r="162" spans="1:6" ht="29.25" customHeight="1" x14ac:dyDescent="0.3">
      <c r="A162" s="17" t="s">
        <v>1535</v>
      </c>
      <c r="B162" s="17" t="s">
        <v>479</v>
      </c>
      <c r="C162" s="19" t="s">
        <v>1536</v>
      </c>
      <c r="D162" s="17"/>
      <c r="E162" s="17" t="s">
        <v>484</v>
      </c>
      <c r="F162" s="17">
        <f t="shared" si="2"/>
        <v>1</v>
      </c>
    </row>
    <row r="163" spans="1:6" ht="15" customHeight="1" x14ac:dyDescent="0.3">
      <c r="A163" s="17" t="s">
        <v>1537</v>
      </c>
      <c r="B163" s="17" t="s">
        <v>479</v>
      </c>
      <c r="C163" s="19" t="s">
        <v>1538</v>
      </c>
      <c r="D163" s="17" t="s">
        <v>1539</v>
      </c>
      <c r="E163" s="17" t="s">
        <v>488</v>
      </c>
      <c r="F163" s="17">
        <f t="shared" si="2"/>
        <v>1</v>
      </c>
    </row>
    <row r="164" spans="1:6" ht="15" customHeight="1" x14ac:dyDescent="0.3">
      <c r="A164" s="17" t="s">
        <v>1540</v>
      </c>
      <c r="B164" s="17" t="s">
        <v>479</v>
      </c>
      <c r="C164" s="17" t="s">
        <v>1541</v>
      </c>
      <c r="D164" s="17"/>
      <c r="E164" s="17" t="s">
        <v>488</v>
      </c>
      <c r="F164" s="17">
        <f t="shared" si="2"/>
        <v>1</v>
      </c>
    </row>
    <row r="165" spans="1:6" ht="15" customHeight="1" x14ac:dyDescent="0.3">
      <c r="A165" s="17" t="s">
        <v>1542</v>
      </c>
      <c r="B165" s="17" t="s">
        <v>479</v>
      </c>
      <c r="C165" s="17" t="s">
        <v>1543</v>
      </c>
      <c r="D165" s="19" t="s">
        <v>1544</v>
      </c>
      <c r="E165" s="17" t="s">
        <v>635</v>
      </c>
      <c r="F165" s="17">
        <f t="shared" si="2"/>
        <v>1</v>
      </c>
    </row>
    <row r="166" spans="1:6" ht="15" customHeight="1" x14ac:dyDescent="0.3">
      <c r="A166" s="17" t="s">
        <v>1545</v>
      </c>
      <c r="B166" s="17" t="s">
        <v>1546</v>
      </c>
      <c r="C166" s="19" t="s">
        <v>1547</v>
      </c>
      <c r="D166" s="19" t="s">
        <v>1548</v>
      </c>
      <c r="E166" s="17" t="s">
        <v>248</v>
      </c>
      <c r="F166" s="17">
        <f t="shared" si="2"/>
        <v>1</v>
      </c>
    </row>
    <row r="167" spans="1:6" ht="15" customHeight="1" x14ac:dyDescent="0.3">
      <c r="A167" s="17" t="s">
        <v>1549</v>
      </c>
      <c r="B167" s="17" t="s">
        <v>1546</v>
      </c>
      <c r="C167" s="19" t="s">
        <v>1550</v>
      </c>
      <c r="D167" s="19" t="s">
        <v>1551</v>
      </c>
      <c r="E167" s="17" t="s">
        <v>1552</v>
      </c>
      <c r="F167" s="17">
        <f t="shared" si="2"/>
        <v>2</v>
      </c>
    </row>
    <row r="168" spans="1:6" ht="15" customHeight="1" x14ac:dyDescent="0.3">
      <c r="A168" s="17" t="s">
        <v>1553</v>
      </c>
      <c r="B168" s="17" t="s">
        <v>1546</v>
      </c>
      <c r="C168" s="19" t="s">
        <v>1554</v>
      </c>
      <c r="D168" s="19" t="s">
        <v>1555</v>
      </c>
      <c r="E168" s="17" t="s">
        <v>1552</v>
      </c>
      <c r="F168" s="17">
        <f t="shared" si="2"/>
        <v>2</v>
      </c>
    </row>
    <row r="169" spans="1:6" ht="15" customHeight="1" x14ac:dyDescent="0.3">
      <c r="A169" s="17" t="s">
        <v>1556</v>
      </c>
      <c r="B169" s="17" t="s">
        <v>1546</v>
      </c>
      <c r="C169" s="19" t="s">
        <v>1557</v>
      </c>
      <c r="D169" s="19" t="s">
        <v>1558</v>
      </c>
      <c r="E169" s="17" t="s">
        <v>248</v>
      </c>
      <c r="F169" s="17">
        <f t="shared" si="2"/>
        <v>1</v>
      </c>
    </row>
    <row r="170" spans="1:6" ht="15" customHeight="1" x14ac:dyDescent="0.3">
      <c r="A170" s="17" t="s">
        <v>1559</v>
      </c>
      <c r="B170" s="17" t="s">
        <v>1546</v>
      </c>
      <c r="C170" s="19" t="s">
        <v>1560</v>
      </c>
      <c r="D170" s="19" t="s">
        <v>1561</v>
      </c>
      <c r="E170" s="17" t="s">
        <v>248</v>
      </c>
      <c r="F170" s="17">
        <f t="shared" si="2"/>
        <v>1</v>
      </c>
    </row>
    <row r="171" spans="1:6" ht="15" customHeight="1" x14ac:dyDescent="0.3">
      <c r="A171" s="17" t="s">
        <v>1562</v>
      </c>
      <c r="B171" s="17" t="s">
        <v>1546</v>
      </c>
      <c r="C171" s="19" t="s">
        <v>1563</v>
      </c>
      <c r="D171" s="19" t="s">
        <v>1564</v>
      </c>
      <c r="E171" s="17" t="s">
        <v>248</v>
      </c>
      <c r="F171" s="17">
        <f t="shared" si="2"/>
        <v>1</v>
      </c>
    </row>
    <row r="172" spans="1:6" ht="15" customHeight="1" x14ac:dyDescent="0.3">
      <c r="A172" s="17" t="s">
        <v>1565</v>
      </c>
      <c r="B172" s="17" t="s">
        <v>1546</v>
      </c>
      <c r="C172" s="19" t="s">
        <v>1566</v>
      </c>
      <c r="D172" s="19" t="s">
        <v>1567</v>
      </c>
      <c r="E172" s="17" t="s">
        <v>248</v>
      </c>
      <c r="F172" s="17">
        <f t="shared" si="2"/>
        <v>1</v>
      </c>
    </row>
    <row r="173" spans="1:6" ht="15" customHeight="1" x14ac:dyDescent="0.3">
      <c r="A173" s="17" t="s">
        <v>1568</v>
      </c>
      <c r="B173" s="17" t="s">
        <v>1546</v>
      </c>
      <c r="C173" s="17" t="s">
        <v>1569</v>
      </c>
      <c r="D173" s="19" t="s">
        <v>1570</v>
      </c>
      <c r="E173" s="17" t="s">
        <v>630</v>
      </c>
      <c r="F173" s="17">
        <f t="shared" si="2"/>
        <v>1</v>
      </c>
    </row>
    <row r="174" spans="1:6" ht="15" customHeight="1" x14ac:dyDescent="0.3">
      <c r="A174" s="17" t="s">
        <v>1571</v>
      </c>
      <c r="B174" s="17" t="s">
        <v>353</v>
      </c>
      <c r="C174" s="19" t="s">
        <v>1572</v>
      </c>
      <c r="D174" s="17"/>
      <c r="E174" s="17" t="s">
        <v>1573</v>
      </c>
      <c r="F174" s="17">
        <f t="shared" si="2"/>
        <v>2</v>
      </c>
    </row>
    <row r="175" spans="1:6" ht="15" customHeight="1" x14ac:dyDescent="0.3">
      <c r="A175" s="17" t="s">
        <v>1574</v>
      </c>
      <c r="B175" s="17" t="s">
        <v>353</v>
      </c>
      <c r="C175" s="17" t="s">
        <v>1575</v>
      </c>
      <c r="D175" s="17"/>
      <c r="E175" s="17" t="s">
        <v>1576</v>
      </c>
      <c r="F175" s="17">
        <f t="shared" si="2"/>
        <v>6</v>
      </c>
    </row>
    <row r="176" spans="1:6" ht="15" customHeight="1" x14ac:dyDescent="0.3">
      <c r="A176" s="17" t="s">
        <v>1577</v>
      </c>
      <c r="B176" s="17" t="s">
        <v>353</v>
      </c>
      <c r="C176" s="17" t="s">
        <v>1578</v>
      </c>
      <c r="D176" s="19" t="s">
        <v>1579</v>
      </c>
      <c r="E176" s="17" t="s">
        <v>1580</v>
      </c>
      <c r="F176" s="17">
        <f t="shared" si="2"/>
        <v>3</v>
      </c>
    </row>
    <row r="177" spans="1:6" ht="15" customHeight="1" x14ac:dyDescent="0.3">
      <c r="A177" s="17" t="s">
        <v>1581</v>
      </c>
      <c r="B177" s="17" t="s">
        <v>353</v>
      </c>
      <c r="C177" s="19" t="s">
        <v>1582</v>
      </c>
      <c r="D177" s="19" t="s">
        <v>1583</v>
      </c>
      <c r="E177" s="17" t="s">
        <v>399</v>
      </c>
      <c r="F177" s="17">
        <f t="shared" si="2"/>
        <v>1</v>
      </c>
    </row>
    <row r="178" spans="1:6" ht="15" customHeight="1" x14ac:dyDescent="0.3">
      <c r="A178" s="17" t="s">
        <v>1584</v>
      </c>
      <c r="B178" s="17" t="s">
        <v>353</v>
      </c>
      <c r="C178" s="17" t="s">
        <v>1585</v>
      </c>
      <c r="D178" s="17"/>
      <c r="E178" s="17" t="s">
        <v>1586</v>
      </c>
      <c r="F178" s="17">
        <f t="shared" si="2"/>
        <v>3</v>
      </c>
    </row>
    <row r="179" spans="1:6" ht="15" customHeight="1" x14ac:dyDescent="0.3">
      <c r="A179" s="17" t="s">
        <v>1587</v>
      </c>
      <c r="B179" s="17" t="s">
        <v>353</v>
      </c>
      <c r="C179" s="17" t="s">
        <v>1588</v>
      </c>
      <c r="D179" s="19" t="s">
        <v>1589</v>
      </c>
      <c r="E179" s="17" t="s">
        <v>382</v>
      </c>
      <c r="F179" s="17">
        <f t="shared" si="2"/>
        <v>1</v>
      </c>
    </row>
    <row r="180" spans="1:6" ht="23.25" customHeight="1" x14ac:dyDescent="0.3">
      <c r="A180" s="17" t="s">
        <v>1590</v>
      </c>
      <c r="B180" s="17" t="s">
        <v>353</v>
      </c>
      <c r="C180" s="17" t="s">
        <v>1591</v>
      </c>
      <c r="D180" s="17"/>
      <c r="E180" s="17" t="s">
        <v>387</v>
      </c>
      <c r="F180" s="17">
        <f t="shared" si="2"/>
        <v>1</v>
      </c>
    </row>
    <row r="181" spans="1:6" ht="15" customHeight="1" x14ac:dyDescent="0.3">
      <c r="A181" s="17" t="s">
        <v>1592</v>
      </c>
      <c r="B181" s="17" t="s">
        <v>353</v>
      </c>
      <c r="C181" s="19" t="s">
        <v>1593</v>
      </c>
      <c r="D181" s="19" t="s">
        <v>1594</v>
      </c>
      <c r="E181" s="17" t="s">
        <v>712</v>
      </c>
      <c r="F181" s="17">
        <f t="shared" si="2"/>
        <v>1</v>
      </c>
    </row>
    <row r="182" spans="1:6" ht="15" customHeight="1" x14ac:dyDescent="0.3">
      <c r="A182" s="17" t="s">
        <v>1595</v>
      </c>
      <c r="B182" s="17" t="s">
        <v>353</v>
      </c>
      <c r="C182" s="17" t="s">
        <v>1596</v>
      </c>
      <c r="D182" s="17"/>
      <c r="E182" s="17" t="s">
        <v>626</v>
      </c>
      <c r="F182" s="17">
        <f t="shared" si="2"/>
        <v>1</v>
      </c>
    </row>
    <row r="183" spans="1:6" ht="15" customHeight="1" x14ac:dyDescent="0.3">
      <c r="A183" s="17" t="s">
        <v>1597</v>
      </c>
      <c r="B183" s="17" t="s">
        <v>353</v>
      </c>
      <c r="C183" s="17" t="s">
        <v>1598</v>
      </c>
      <c r="D183" s="19" t="s">
        <v>1599</v>
      </c>
      <c r="E183" s="17" t="s">
        <v>1407</v>
      </c>
      <c r="F183" s="17">
        <f t="shared" si="2"/>
        <v>2</v>
      </c>
    </row>
    <row r="184" spans="1:6" ht="15" customHeight="1" x14ac:dyDescent="0.3">
      <c r="A184" s="17" t="s">
        <v>1600</v>
      </c>
      <c r="B184" s="17" t="s">
        <v>1601</v>
      </c>
      <c r="C184" s="19" t="s">
        <v>1602</v>
      </c>
      <c r="D184" s="17" t="s">
        <v>1603</v>
      </c>
      <c r="E184" s="17" t="s">
        <v>1604</v>
      </c>
      <c r="F184" s="17">
        <f t="shared" si="2"/>
        <v>6</v>
      </c>
    </row>
    <row r="185" spans="1:6" ht="15" customHeight="1" x14ac:dyDescent="0.3">
      <c r="A185" s="17" t="s">
        <v>1605</v>
      </c>
      <c r="B185" s="17" t="s">
        <v>1601</v>
      </c>
      <c r="C185" s="19" t="s">
        <v>1606</v>
      </c>
      <c r="D185" s="19" t="s">
        <v>1607</v>
      </c>
      <c r="E185" s="17" t="s">
        <v>445</v>
      </c>
      <c r="F185" s="17">
        <f t="shared" si="2"/>
        <v>1</v>
      </c>
    </row>
    <row r="186" spans="1:6" ht="29.25" customHeight="1" x14ac:dyDescent="0.3">
      <c r="A186" s="17" t="s">
        <v>1608</v>
      </c>
      <c r="B186" s="17" t="s">
        <v>1601</v>
      </c>
      <c r="C186" s="19" t="s">
        <v>1609</v>
      </c>
      <c r="D186" s="19" t="s">
        <v>1610</v>
      </c>
      <c r="E186" s="17" t="s">
        <v>1611</v>
      </c>
      <c r="F186" s="17">
        <f t="shared" si="2"/>
        <v>4</v>
      </c>
    </row>
    <row r="187" spans="1:6" ht="15" customHeight="1" x14ac:dyDescent="0.3">
      <c r="A187" s="17" t="s">
        <v>1612</v>
      </c>
      <c r="B187" s="17" t="s">
        <v>1601</v>
      </c>
      <c r="C187" s="19" t="s">
        <v>1613</v>
      </c>
      <c r="D187" s="19" t="s">
        <v>1614</v>
      </c>
      <c r="E187" s="17" t="s">
        <v>1615</v>
      </c>
      <c r="F187" s="17">
        <f t="shared" si="2"/>
        <v>7</v>
      </c>
    </row>
    <row r="188" spans="1:6" ht="15" customHeight="1" x14ac:dyDescent="0.3">
      <c r="A188" s="17" t="s">
        <v>1616</v>
      </c>
      <c r="B188" s="17" t="s">
        <v>1601</v>
      </c>
      <c r="C188" s="19" t="s">
        <v>1617</v>
      </c>
      <c r="D188" s="19" t="s">
        <v>1618</v>
      </c>
      <c r="E188" s="17" t="s">
        <v>248</v>
      </c>
      <c r="F188" s="17">
        <f t="shared" si="2"/>
        <v>1</v>
      </c>
    </row>
    <row r="189" spans="1:6" ht="15" customHeight="1" x14ac:dyDescent="0.3">
      <c r="A189" s="17" t="s">
        <v>1619</v>
      </c>
      <c r="B189" s="17" t="s">
        <v>1601</v>
      </c>
      <c r="C189" s="19" t="s">
        <v>1620</v>
      </c>
      <c r="D189" s="19" t="s">
        <v>1621</v>
      </c>
      <c r="E189" s="17" t="s">
        <v>808</v>
      </c>
      <c r="F189" s="17">
        <f t="shared" si="2"/>
        <v>1</v>
      </c>
    </row>
    <row r="190" spans="1:6" ht="15" customHeight="1" x14ac:dyDescent="0.3">
      <c r="A190" s="17" t="s">
        <v>1622</v>
      </c>
      <c r="B190" s="17" t="s">
        <v>294</v>
      </c>
      <c r="C190" s="19" t="s">
        <v>1623</v>
      </c>
      <c r="D190" s="17"/>
      <c r="E190" s="17" t="s">
        <v>1624</v>
      </c>
      <c r="F190" s="17">
        <f t="shared" si="2"/>
        <v>2</v>
      </c>
    </row>
    <row r="191" spans="1:6" ht="15" customHeight="1" x14ac:dyDescent="0.3">
      <c r="A191" s="17" t="s">
        <v>1625</v>
      </c>
      <c r="B191" s="17" t="s">
        <v>294</v>
      </c>
      <c r="C191" s="17" t="s">
        <v>1626</v>
      </c>
      <c r="D191" s="19" t="s">
        <v>1627</v>
      </c>
      <c r="E191" s="17" t="s">
        <v>299</v>
      </c>
      <c r="F191" s="17">
        <f t="shared" si="2"/>
        <v>1</v>
      </c>
    </row>
    <row r="192" spans="1:6" ht="29.25" customHeight="1" x14ac:dyDescent="0.3">
      <c r="A192" s="17" t="s">
        <v>1628</v>
      </c>
      <c r="B192" s="17" t="s">
        <v>294</v>
      </c>
      <c r="C192" s="19" t="s">
        <v>1629</v>
      </c>
      <c r="D192" s="19" t="s">
        <v>1630</v>
      </c>
      <c r="E192" s="17" t="s">
        <v>1631</v>
      </c>
      <c r="F192" s="17">
        <f t="shared" si="2"/>
        <v>2</v>
      </c>
    </row>
    <row r="193" spans="1:6" ht="15" customHeight="1" x14ac:dyDescent="0.3">
      <c r="A193" s="17" t="s">
        <v>1632</v>
      </c>
      <c r="B193" s="17" t="s">
        <v>294</v>
      </c>
      <c r="C193" s="19" t="s">
        <v>1633</v>
      </c>
      <c r="D193" s="19" t="s">
        <v>1634</v>
      </c>
      <c r="E193" s="17" t="s">
        <v>305</v>
      </c>
      <c r="F193" s="17">
        <f t="shared" si="2"/>
        <v>1</v>
      </c>
    </row>
    <row r="194" spans="1:6" ht="15" customHeight="1" x14ac:dyDescent="0.3">
      <c r="A194" s="17" t="s">
        <v>1635</v>
      </c>
      <c r="B194" s="17" t="s">
        <v>294</v>
      </c>
      <c r="C194" s="17" t="s">
        <v>1636</v>
      </c>
      <c r="D194" s="17" t="s">
        <v>1637</v>
      </c>
      <c r="E194" s="17" t="s">
        <v>1638</v>
      </c>
      <c r="F194" s="17">
        <f t="shared" si="2"/>
        <v>2</v>
      </c>
    </row>
    <row r="195" spans="1:6" ht="15" customHeight="1" x14ac:dyDescent="0.3">
      <c r="A195" s="17" t="s">
        <v>1639</v>
      </c>
      <c r="B195" s="17" t="s">
        <v>294</v>
      </c>
      <c r="C195" s="17" t="s">
        <v>1640</v>
      </c>
      <c r="D195" s="17" t="s">
        <v>1641</v>
      </c>
      <c r="E195" s="17" t="s">
        <v>292</v>
      </c>
      <c r="F195" s="17">
        <f t="shared" si="2"/>
        <v>1</v>
      </c>
    </row>
    <row r="196" spans="1:6" ht="15" customHeight="1" x14ac:dyDescent="0.3">
      <c r="A196" s="17" t="s">
        <v>1642</v>
      </c>
      <c r="B196" s="17" t="s">
        <v>294</v>
      </c>
      <c r="C196" s="17" t="s">
        <v>1643</v>
      </c>
      <c r="D196" s="17"/>
      <c r="E196" s="17" t="s">
        <v>310</v>
      </c>
      <c r="F196" s="17">
        <f t="shared" si="2"/>
        <v>1</v>
      </c>
    </row>
    <row r="197" spans="1:6" ht="15" customHeight="1" x14ac:dyDescent="0.3">
      <c r="A197" s="17" t="s">
        <v>1644</v>
      </c>
      <c r="B197" s="17" t="s">
        <v>294</v>
      </c>
      <c r="C197" s="17" t="s">
        <v>1645</v>
      </c>
      <c r="D197" s="19" t="s">
        <v>1646</v>
      </c>
      <c r="E197" s="17" t="s">
        <v>338</v>
      </c>
      <c r="F197" s="17">
        <f t="shared" ref="F197:F260" si="3">IF(TRIM(E197)="",0,LEN(E197)-LEN(SUBSTITUTE(E197,",",""))+1)</f>
        <v>1</v>
      </c>
    </row>
    <row r="198" spans="1:6" ht="15" customHeight="1" x14ac:dyDescent="0.3">
      <c r="A198" s="17" t="s">
        <v>1647</v>
      </c>
      <c r="B198" s="17" t="s">
        <v>294</v>
      </c>
      <c r="C198" s="17" t="s">
        <v>1648</v>
      </c>
      <c r="D198" s="17"/>
      <c r="E198" s="17" t="s">
        <v>310</v>
      </c>
      <c r="F198" s="17">
        <f t="shared" si="3"/>
        <v>1</v>
      </c>
    </row>
    <row r="199" spans="1:6" ht="15" customHeight="1" x14ac:dyDescent="0.3">
      <c r="A199" s="17" t="s">
        <v>1649</v>
      </c>
      <c r="B199" s="17" t="s">
        <v>294</v>
      </c>
      <c r="C199" s="19" t="s">
        <v>1650</v>
      </c>
      <c r="D199" s="17" t="s">
        <v>1651</v>
      </c>
      <c r="E199" s="17" t="s">
        <v>1652</v>
      </c>
      <c r="F199" s="17">
        <f t="shared" si="3"/>
        <v>3</v>
      </c>
    </row>
    <row r="200" spans="1:6" ht="15" customHeight="1" x14ac:dyDescent="0.3">
      <c r="A200" s="17" t="s">
        <v>1653</v>
      </c>
      <c r="B200" s="17" t="s">
        <v>294</v>
      </c>
      <c r="C200" s="17" t="s">
        <v>1654</v>
      </c>
      <c r="D200" s="19" t="s">
        <v>1655</v>
      </c>
      <c r="E200" s="17" t="s">
        <v>210</v>
      </c>
      <c r="F200" s="17">
        <f t="shared" si="3"/>
        <v>1</v>
      </c>
    </row>
    <row r="201" spans="1:6" ht="15" customHeight="1" x14ac:dyDescent="0.3">
      <c r="A201" s="17" t="s">
        <v>1656</v>
      </c>
      <c r="B201" s="17" t="s">
        <v>294</v>
      </c>
      <c r="C201" s="17" t="s">
        <v>1657</v>
      </c>
      <c r="D201" s="19" t="s">
        <v>1658</v>
      </c>
      <c r="E201" s="17" t="s">
        <v>305</v>
      </c>
      <c r="F201" s="17">
        <f t="shared" si="3"/>
        <v>1</v>
      </c>
    </row>
    <row r="202" spans="1:6" ht="15" customHeight="1" x14ac:dyDescent="0.3">
      <c r="A202" s="17" t="s">
        <v>1659</v>
      </c>
      <c r="B202" s="17" t="s">
        <v>294</v>
      </c>
      <c r="C202" s="19" t="s">
        <v>1660</v>
      </c>
      <c r="D202" s="19" t="s">
        <v>1661</v>
      </c>
      <c r="E202" s="17" t="s">
        <v>310</v>
      </c>
      <c r="F202" s="17">
        <f t="shared" si="3"/>
        <v>1</v>
      </c>
    </row>
    <row r="203" spans="1:6" ht="15" customHeight="1" x14ac:dyDescent="0.3">
      <c r="A203" s="17" t="s">
        <v>1662</v>
      </c>
      <c r="B203" s="17" t="s">
        <v>294</v>
      </c>
      <c r="C203" s="19" t="s">
        <v>1663</v>
      </c>
      <c r="D203" s="19" t="s">
        <v>1664</v>
      </c>
      <c r="E203" s="17" t="s">
        <v>1665</v>
      </c>
      <c r="F203" s="17">
        <f t="shared" si="3"/>
        <v>4</v>
      </c>
    </row>
    <row r="204" spans="1:6" ht="15" customHeight="1" x14ac:dyDescent="0.3">
      <c r="A204" s="17" t="s">
        <v>1666</v>
      </c>
      <c r="B204" s="17" t="s">
        <v>641</v>
      </c>
      <c r="C204" s="17" t="s">
        <v>1667</v>
      </c>
      <c r="D204" s="17"/>
      <c r="E204" s="17" t="s">
        <v>1604</v>
      </c>
      <c r="F204" s="17">
        <f t="shared" si="3"/>
        <v>6</v>
      </c>
    </row>
    <row r="205" spans="1:6" ht="15" customHeight="1" x14ac:dyDescent="0.3">
      <c r="A205" s="17" t="s">
        <v>1668</v>
      </c>
      <c r="B205" s="17" t="s">
        <v>641</v>
      </c>
      <c r="C205" s="19" t="s">
        <v>1669</v>
      </c>
      <c r="D205" s="17"/>
      <c r="E205" s="17" t="s">
        <v>1670</v>
      </c>
      <c r="F205" s="17">
        <f t="shared" si="3"/>
        <v>5</v>
      </c>
    </row>
    <row r="206" spans="1:6" ht="15" customHeight="1" x14ac:dyDescent="0.3">
      <c r="A206" s="17" t="s">
        <v>1671</v>
      </c>
      <c r="B206" s="17" t="s">
        <v>641</v>
      </c>
      <c r="C206" s="19" t="s">
        <v>1672</v>
      </c>
      <c r="D206" s="19" t="s">
        <v>1673</v>
      </c>
      <c r="E206" s="17" t="s">
        <v>685</v>
      </c>
      <c r="F206" s="17">
        <f t="shared" si="3"/>
        <v>1</v>
      </c>
    </row>
    <row r="207" spans="1:6" ht="15" customHeight="1" x14ac:dyDescent="0.3">
      <c r="A207" s="17" t="s">
        <v>1674</v>
      </c>
      <c r="B207" s="17" t="s">
        <v>641</v>
      </c>
      <c r="C207" s="19" t="s">
        <v>1675</v>
      </c>
      <c r="D207" s="17" t="s">
        <v>1676</v>
      </c>
      <c r="E207" s="17" t="s">
        <v>685</v>
      </c>
      <c r="F207" s="17">
        <f t="shared" si="3"/>
        <v>1</v>
      </c>
    </row>
    <row r="208" spans="1:6" ht="15" customHeight="1" x14ac:dyDescent="0.3">
      <c r="A208" s="17" t="s">
        <v>1677</v>
      </c>
      <c r="B208" s="17" t="s">
        <v>641</v>
      </c>
      <c r="C208" s="19" t="s">
        <v>1678</v>
      </c>
      <c r="D208" s="19" t="s">
        <v>1679</v>
      </c>
      <c r="E208" s="17" t="s">
        <v>685</v>
      </c>
      <c r="F208" s="17">
        <f t="shared" si="3"/>
        <v>1</v>
      </c>
    </row>
    <row r="209" spans="1:6" ht="15" customHeight="1" x14ac:dyDescent="0.3">
      <c r="A209" s="17" t="s">
        <v>1680</v>
      </c>
      <c r="B209" s="17" t="s">
        <v>641</v>
      </c>
      <c r="C209" s="19" t="s">
        <v>1681</v>
      </c>
      <c r="D209" s="19" t="s">
        <v>1682</v>
      </c>
      <c r="E209" s="17" t="s">
        <v>685</v>
      </c>
      <c r="F209" s="17">
        <f t="shared" si="3"/>
        <v>1</v>
      </c>
    </row>
    <row r="210" spans="1:6" ht="15" customHeight="1" x14ac:dyDescent="0.3">
      <c r="A210" s="17" t="s">
        <v>1683</v>
      </c>
      <c r="B210" s="17" t="s">
        <v>641</v>
      </c>
      <c r="C210" s="19" t="s">
        <v>1684</v>
      </c>
      <c r="D210" s="19" t="s">
        <v>1685</v>
      </c>
      <c r="E210" s="17" t="s">
        <v>685</v>
      </c>
      <c r="F210" s="17">
        <f t="shared" si="3"/>
        <v>1</v>
      </c>
    </row>
    <row r="211" spans="1:6" ht="15" customHeight="1" x14ac:dyDescent="0.3">
      <c r="A211" s="17" t="s">
        <v>1686</v>
      </c>
      <c r="B211" s="17" t="s">
        <v>641</v>
      </c>
      <c r="C211" s="17" t="s">
        <v>1687</v>
      </c>
      <c r="D211" s="19" t="s">
        <v>1688</v>
      </c>
      <c r="E211" s="17" t="s">
        <v>685</v>
      </c>
      <c r="F211" s="17">
        <f t="shared" si="3"/>
        <v>1</v>
      </c>
    </row>
    <row r="212" spans="1:6" ht="15" customHeight="1" x14ac:dyDescent="0.3">
      <c r="A212" s="17" t="s">
        <v>1689</v>
      </c>
      <c r="B212" s="17" t="s">
        <v>641</v>
      </c>
      <c r="C212" s="17" t="s">
        <v>1690</v>
      </c>
      <c r="D212" s="19" t="s">
        <v>1691</v>
      </c>
      <c r="E212" s="17" t="s">
        <v>691</v>
      </c>
      <c r="F212" s="17">
        <f t="shared" si="3"/>
        <v>1</v>
      </c>
    </row>
    <row r="213" spans="1:6" ht="15" customHeight="1" x14ac:dyDescent="0.3">
      <c r="A213" s="17" t="s">
        <v>1692</v>
      </c>
      <c r="B213" s="17" t="s">
        <v>641</v>
      </c>
      <c r="C213" s="19" t="s">
        <v>1693</v>
      </c>
      <c r="D213" s="19" t="s">
        <v>1694</v>
      </c>
      <c r="E213" s="17" t="s">
        <v>640</v>
      </c>
      <c r="F213" s="17">
        <f t="shared" si="3"/>
        <v>1</v>
      </c>
    </row>
    <row r="214" spans="1:6" ht="15" customHeight="1" x14ac:dyDescent="0.3">
      <c r="A214" s="17" t="s">
        <v>1695</v>
      </c>
      <c r="B214" s="17" t="s">
        <v>153</v>
      </c>
      <c r="C214" s="19" t="s">
        <v>1696</v>
      </c>
      <c r="D214" s="17" t="s">
        <v>1697</v>
      </c>
      <c r="E214" s="17" t="s">
        <v>1698</v>
      </c>
      <c r="F214" s="17">
        <f t="shared" si="3"/>
        <v>2</v>
      </c>
    </row>
    <row r="215" spans="1:6" ht="23.25" customHeight="1" x14ac:dyDescent="0.3">
      <c r="A215" s="17" t="s">
        <v>1699</v>
      </c>
      <c r="B215" s="17" t="s">
        <v>153</v>
      </c>
      <c r="C215" s="17" t="s">
        <v>1700</v>
      </c>
      <c r="D215" s="17"/>
      <c r="E215" s="17" t="s">
        <v>187</v>
      </c>
      <c r="F215" s="17">
        <f t="shared" si="3"/>
        <v>1</v>
      </c>
    </row>
    <row r="216" spans="1:6" ht="15" customHeight="1" x14ac:dyDescent="0.3">
      <c r="A216" s="17" t="s">
        <v>1701</v>
      </c>
      <c r="B216" s="17" t="s">
        <v>153</v>
      </c>
      <c r="C216" s="17" t="s">
        <v>1702</v>
      </c>
      <c r="D216" s="19" t="s">
        <v>1703</v>
      </c>
      <c r="E216" s="17" t="s">
        <v>187</v>
      </c>
      <c r="F216" s="17">
        <f t="shared" si="3"/>
        <v>1</v>
      </c>
    </row>
    <row r="217" spans="1:6" ht="15" customHeight="1" x14ac:dyDescent="0.3">
      <c r="A217" s="17" t="s">
        <v>1704</v>
      </c>
      <c r="B217" s="17" t="s">
        <v>153</v>
      </c>
      <c r="C217" s="17" t="s">
        <v>1705</v>
      </c>
      <c r="D217" s="17" t="s">
        <v>1706</v>
      </c>
      <c r="E217" s="17" t="s">
        <v>112</v>
      </c>
      <c r="F217" s="17">
        <f t="shared" si="3"/>
        <v>1</v>
      </c>
    </row>
    <row r="218" spans="1:6" ht="29.25" customHeight="1" x14ac:dyDescent="0.3">
      <c r="A218" s="17" t="s">
        <v>1707</v>
      </c>
      <c r="B218" s="17" t="s">
        <v>153</v>
      </c>
      <c r="C218" s="19" t="s">
        <v>1708</v>
      </c>
      <c r="D218" s="17" t="s">
        <v>1709</v>
      </c>
      <c r="E218" s="17" t="s">
        <v>579</v>
      </c>
      <c r="F218" s="17">
        <f t="shared" si="3"/>
        <v>1</v>
      </c>
    </row>
    <row r="219" spans="1:6" ht="15" customHeight="1" x14ac:dyDescent="0.3">
      <c r="A219" s="17" t="s">
        <v>1710</v>
      </c>
      <c r="B219" s="17" t="s">
        <v>153</v>
      </c>
      <c r="C219" s="17" t="s">
        <v>1711</v>
      </c>
      <c r="D219" s="17" t="s">
        <v>1712</v>
      </c>
      <c r="E219" s="17" t="s">
        <v>187</v>
      </c>
      <c r="F219" s="17">
        <f t="shared" si="3"/>
        <v>1</v>
      </c>
    </row>
    <row r="220" spans="1:6" ht="15" customHeight="1" x14ac:dyDescent="0.3">
      <c r="A220" s="17" t="s">
        <v>1713</v>
      </c>
      <c r="B220" s="17" t="s">
        <v>1714</v>
      </c>
      <c r="C220" s="17" t="s">
        <v>1715</v>
      </c>
      <c r="D220" s="19" t="s">
        <v>1716</v>
      </c>
      <c r="E220" s="17" t="s">
        <v>248</v>
      </c>
      <c r="F220" s="17">
        <f t="shared" si="3"/>
        <v>1</v>
      </c>
    </row>
    <row r="221" spans="1:6" ht="15" customHeight="1" x14ac:dyDescent="0.3">
      <c r="A221" s="17" t="s">
        <v>1717</v>
      </c>
      <c r="B221" s="17" t="s">
        <v>1714</v>
      </c>
      <c r="C221" s="19" t="s">
        <v>1718</v>
      </c>
      <c r="D221" s="19" t="s">
        <v>1719</v>
      </c>
      <c r="E221" s="17" t="s">
        <v>590</v>
      </c>
      <c r="F221" s="17">
        <f t="shared" si="3"/>
        <v>1</v>
      </c>
    </row>
    <row r="222" spans="1:6" ht="15" customHeight="1" x14ac:dyDescent="0.3">
      <c r="A222" s="17" t="s">
        <v>1720</v>
      </c>
      <c r="B222" s="17" t="s">
        <v>1714</v>
      </c>
      <c r="C222" s="19" t="s">
        <v>1721</v>
      </c>
      <c r="D222" s="19" t="s">
        <v>1722</v>
      </c>
      <c r="E222" s="17" t="s">
        <v>596</v>
      </c>
      <c r="F222" s="17">
        <f t="shared" si="3"/>
        <v>1</v>
      </c>
    </row>
    <row r="223" spans="1:6" ht="15" customHeight="1" x14ac:dyDescent="0.3">
      <c r="A223" s="17" t="s">
        <v>1723</v>
      </c>
      <c r="B223" s="17" t="s">
        <v>1714</v>
      </c>
      <c r="C223" s="19" t="s">
        <v>1724</v>
      </c>
      <c r="D223" s="17" t="s">
        <v>1725</v>
      </c>
      <c r="E223" s="17" t="s">
        <v>445</v>
      </c>
      <c r="F223" s="17">
        <f t="shared" si="3"/>
        <v>1</v>
      </c>
    </row>
    <row r="224" spans="1:6" ht="23.25" customHeight="1" x14ac:dyDescent="0.3">
      <c r="A224" s="17" t="s">
        <v>1726</v>
      </c>
      <c r="B224" s="17" t="s">
        <v>1714</v>
      </c>
      <c r="C224" s="19" t="s">
        <v>1727</v>
      </c>
      <c r="D224" s="19" t="s">
        <v>1728</v>
      </c>
      <c r="E224" s="17" t="s">
        <v>1729</v>
      </c>
      <c r="F224" s="17">
        <f t="shared" si="3"/>
        <v>9</v>
      </c>
    </row>
    <row r="225" spans="1:6" ht="15" customHeight="1" x14ac:dyDescent="0.3">
      <c r="A225" s="17" t="s">
        <v>1730</v>
      </c>
      <c r="B225" s="17" t="s">
        <v>1714</v>
      </c>
      <c r="C225" s="19" t="s">
        <v>1731</v>
      </c>
      <c r="D225" s="17" t="s">
        <v>1732</v>
      </c>
      <c r="E225" s="17" t="s">
        <v>282</v>
      </c>
      <c r="F225" s="17">
        <f t="shared" si="3"/>
        <v>1</v>
      </c>
    </row>
    <row r="226" spans="1:6" ht="15" customHeight="1" x14ac:dyDescent="0.3">
      <c r="A226" s="17" t="s">
        <v>1733</v>
      </c>
      <c r="B226" s="17" t="s">
        <v>1714</v>
      </c>
      <c r="C226" s="19" t="s">
        <v>1734</v>
      </c>
      <c r="D226" s="17"/>
      <c r="E226" s="17" t="s">
        <v>1735</v>
      </c>
      <c r="F226" s="17">
        <f t="shared" si="3"/>
        <v>2</v>
      </c>
    </row>
    <row r="227" spans="1:6" ht="15" customHeight="1" x14ac:dyDescent="0.3">
      <c r="A227" s="17" t="s">
        <v>1736</v>
      </c>
      <c r="B227" s="17" t="s">
        <v>1714</v>
      </c>
      <c r="C227" s="17" t="s">
        <v>1737</v>
      </c>
      <c r="D227" s="17" t="s">
        <v>1738</v>
      </c>
      <c r="E227" s="17" t="s">
        <v>630</v>
      </c>
      <c r="F227" s="17">
        <f t="shared" si="3"/>
        <v>1</v>
      </c>
    </row>
    <row r="228" spans="1:6" ht="15" customHeight="1" x14ac:dyDescent="0.3">
      <c r="A228" s="17" t="s">
        <v>1739</v>
      </c>
      <c r="B228" s="17" t="s">
        <v>329</v>
      </c>
      <c r="C228" s="19" t="s">
        <v>1740</v>
      </c>
      <c r="D228" s="19" t="s">
        <v>1741</v>
      </c>
      <c r="E228" s="17" t="s">
        <v>1047</v>
      </c>
      <c r="F228" s="17">
        <f t="shared" si="3"/>
        <v>2</v>
      </c>
    </row>
    <row r="229" spans="1:6" ht="15" customHeight="1" x14ac:dyDescent="0.3">
      <c r="A229" s="17" t="s">
        <v>1742</v>
      </c>
      <c r="B229" s="17" t="s">
        <v>329</v>
      </c>
      <c r="C229" s="17" t="s">
        <v>1743</v>
      </c>
      <c r="D229" s="17" t="s">
        <v>1744</v>
      </c>
      <c r="E229" s="17" t="s">
        <v>248</v>
      </c>
      <c r="F229" s="17">
        <f t="shared" si="3"/>
        <v>1</v>
      </c>
    </row>
    <row r="230" spans="1:6" ht="15" customHeight="1" x14ac:dyDescent="0.3">
      <c r="A230" s="17" t="s">
        <v>1745</v>
      </c>
      <c r="B230" s="17" t="s">
        <v>329</v>
      </c>
      <c r="C230" s="19" t="s">
        <v>1746</v>
      </c>
      <c r="D230" s="19" t="s">
        <v>1747</v>
      </c>
      <c r="E230" s="17" t="s">
        <v>248</v>
      </c>
      <c r="F230" s="17">
        <f t="shared" si="3"/>
        <v>1</v>
      </c>
    </row>
    <row r="231" spans="1:6" ht="15" customHeight="1" x14ac:dyDescent="0.3">
      <c r="A231" s="17" t="s">
        <v>1748</v>
      </c>
      <c r="B231" s="17" t="s">
        <v>329</v>
      </c>
      <c r="C231" s="19" t="s">
        <v>1749</v>
      </c>
      <c r="D231" s="17"/>
      <c r="E231" s="17" t="s">
        <v>328</v>
      </c>
      <c r="F231" s="17">
        <f t="shared" si="3"/>
        <v>1</v>
      </c>
    </row>
    <row r="232" spans="1:6" ht="15" customHeight="1" x14ac:dyDescent="0.3">
      <c r="A232" s="17" t="s">
        <v>1750</v>
      </c>
      <c r="B232" s="17" t="s">
        <v>329</v>
      </c>
      <c r="C232" s="19" t="s">
        <v>1751</v>
      </c>
      <c r="D232" s="17" t="s">
        <v>1752</v>
      </c>
      <c r="E232" s="17" t="s">
        <v>1753</v>
      </c>
      <c r="F232" s="17">
        <f t="shared" si="3"/>
        <v>2</v>
      </c>
    </row>
    <row r="233" spans="1:6" ht="15" customHeight="1" x14ac:dyDescent="0.3">
      <c r="A233" s="17" t="s">
        <v>1754</v>
      </c>
      <c r="B233" s="17" t="s">
        <v>329</v>
      </c>
      <c r="C233" s="17" t="s">
        <v>1755</v>
      </c>
      <c r="D233" s="19" t="s">
        <v>1756</v>
      </c>
      <c r="E233" s="17" t="s">
        <v>1757</v>
      </c>
      <c r="F233" s="17">
        <f t="shared" si="3"/>
        <v>2</v>
      </c>
    </row>
    <row r="234" spans="1:6" ht="15" customHeight="1" x14ac:dyDescent="0.3">
      <c r="A234" s="17" t="s">
        <v>1758</v>
      </c>
      <c r="B234" s="17" t="s">
        <v>329</v>
      </c>
      <c r="C234" s="19" t="s">
        <v>335</v>
      </c>
      <c r="D234" s="19" t="s">
        <v>1759</v>
      </c>
      <c r="E234" s="17" t="s">
        <v>334</v>
      </c>
      <c r="F234" s="17">
        <f t="shared" si="3"/>
        <v>1</v>
      </c>
    </row>
    <row r="235" spans="1:6" ht="29.25" customHeight="1" x14ac:dyDescent="0.3">
      <c r="A235" s="17" t="s">
        <v>1760</v>
      </c>
      <c r="B235" s="17" t="s">
        <v>1761</v>
      </c>
      <c r="C235" s="19" t="s">
        <v>1762</v>
      </c>
      <c r="D235" s="17"/>
      <c r="E235" s="17" t="s">
        <v>1336</v>
      </c>
      <c r="F235" s="17">
        <f t="shared" si="3"/>
        <v>2</v>
      </c>
    </row>
    <row r="236" spans="1:6" ht="29.25" customHeight="1" x14ac:dyDescent="0.3">
      <c r="A236" s="17" t="s">
        <v>1763</v>
      </c>
      <c r="B236" s="17" t="s">
        <v>1761</v>
      </c>
      <c r="C236" s="19" t="s">
        <v>1617</v>
      </c>
      <c r="D236" s="17" t="s">
        <v>1764</v>
      </c>
      <c r="E236" s="17" t="s">
        <v>248</v>
      </c>
      <c r="F236" s="17">
        <f t="shared" si="3"/>
        <v>1</v>
      </c>
    </row>
    <row r="237" spans="1:6" ht="15" customHeight="1" x14ac:dyDescent="0.3">
      <c r="A237" s="17" t="s">
        <v>1765</v>
      </c>
      <c r="B237" s="17" t="s">
        <v>1761</v>
      </c>
      <c r="C237" s="19" t="s">
        <v>1766</v>
      </c>
      <c r="D237" s="19" t="s">
        <v>1767</v>
      </c>
      <c r="E237" s="17" t="s">
        <v>1768</v>
      </c>
      <c r="F237" s="17">
        <f t="shared" si="3"/>
        <v>3</v>
      </c>
    </row>
    <row r="238" spans="1:6" ht="15" customHeight="1" x14ac:dyDescent="0.3">
      <c r="A238" s="17" t="s">
        <v>1769</v>
      </c>
      <c r="B238" s="17" t="s">
        <v>1761</v>
      </c>
      <c r="C238" s="19" t="s">
        <v>1770</v>
      </c>
      <c r="D238" s="19" t="s">
        <v>1771</v>
      </c>
      <c r="E238" s="17" t="s">
        <v>236</v>
      </c>
      <c r="F238" s="17">
        <f t="shared" si="3"/>
        <v>1</v>
      </c>
    </row>
    <row r="239" spans="1:6" ht="29.25" customHeight="1" x14ac:dyDescent="0.3">
      <c r="A239" s="17" t="s">
        <v>1772</v>
      </c>
      <c r="B239" s="17" t="s">
        <v>1761</v>
      </c>
      <c r="C239" s="19" t="s">
        <v>1773</v>
      </c>
      <c r="D239" s="19" t="s">
        <v>1774</v>
      </c>
      <c r="E239" s="17" t="s">
        <v>1775</v>
      </c>
      <c r="F239" s="17">
        <f t="shared" si="3"/>
        <v>2</v>
      </c>
    </row>
    <row r="240" spans="1:6" ht="29.25" customHeight="1" x14ac:dyDescent="0.3">
      <c r="A240" s="17" t="s">
        <v>1776</v>
      </c>
      <c r="B240" s="17" t="s">
        <v>1761</v>
      </c>
      <c r="C240" s="19" t="s">
        <v>1777</v>
      </c>
      <c r="D240" s="19" t="s">
        <v>1778</v>
      </c>
      <c r="E240" s="17" t="s">
        <v>236</v>
      </c>
      <c r="F240" s="17">
        <f t="shared" si="3"/>
        <v>1</v>
      </c>
    </row>
    <row r="241" spans="1:6" ht="15" customHeight="1" x14ac:dyDescent="0.3">
      <c r="A241" s="17" t="s">
        <v>1779</v>
      </c>
      <c r="B241" s="17" t="s">
        <v>1761</v>
      </c>
      <c r="C241" s="19" t="s">
        <v>1780</v>
      </c>
      <c r="D241" s="19" t="s">
        <v>1781</v>
      </c>
      <c r="E241" s="17" t="s">
        <v>248</v>
      </c>
      <c r="F241" s="17">
        <f t="shared" si="3"/>
        <v>1</v>
      </c>
    </row>
    <row r="242" spans="1:6" ht="15" customHeight="1" x14ac:dyDescent="0.3">
      <c r="A242" s="17" t="s">
        <v>1782</v>
      </c>
      <c r="B242" s="17" t="s">
        <v>1761</v>
      </c>
      <c r="C242" s="17" t="s">
        <v>1783</v>
      </c>
      <c r="D242" s="19" t="s">
        <v>1784</v>
      </c>
      <c r="E242" s="17" t="s">
        <v>1785</v>
      </c>
      <c r="F242" s="17">
        <f t="shared" si="3"/>
        <v>2</v>
      </c>
    </row>
    <row r="243" spans="1:6" ht="15" customHeight="1" x14ac:dyDescent="0.3">
      <c r="A243" s="17" t="s">
        <v>1786</v>
      </c>
      <c r="B243" s="17" t="s">
        <v>1761</v>
      </c>
      <c r="C243" s="19" t="s">
        <v>1787</v>
      </c>
      <c r="D243" s="19" t="s">
        <v>1788</v>
      </c>
      <c r="E243" s="17" t="s">
        <v>1789</v>
      </c>
      <c r="F243" s="17">
        <f t="shared" si="3"/>
        <v>2</v>
      </c>
    </row>
    <row r="244" spans="1:6" ht="15" customHeight="1" x14ac:dyDescent="0.3">
      <c r="A244" s="17" t="s">
        <v>1790</v>
      </c>
      <c r="B244" s="17" t="s">
        <v>495</v>
      </c>
      <c r="C244" s="19" t="s">
        <v>1791</v>
      </c>
      <c r="D244" s="17"/>
      <c r="E244" s="17" t="s">
        <v>493</v>
      </c>
      <c r="F244" s="17">
        <f t="shared" si="3"/>
        <v>1</v>
      </c>
    </row>
    <row r="245" spans="1:6" ht="29.25" customHeight="1" x14ac:dyDescent="0.3">
      <c r="A245" s="17" t="s">
        <v>1792</v>
      </c>
      <c r="B245" s="17" t="s">
        <v>495</v>
      </c>
      <c r="C245" s="19" t="s">
        <v>1793</v>
      </c>
      <c r="D245" s="19" t="s">
        <v>1794</v>
      </c>
      <c r="E245" s="17" t="s">
        <v>493</v>
      </c>
      <c r="F245" s="17">
        <f t="shared" si="3"/>
        <v>1</v>
      </c>
    </row>
    <row r="246" spans="1:6" ht="15" customHeight="1" x14ac:dyDescent="0.3">
      <c r="A246" s="17" t="s">
        <v>1795</v>
      </c>
      <c r="B246" s="17" t="s">
        <v>495</v>
      </c>
      <c r="C246" s="19" t="s">
        <v>1796</v>
      </c>
      <c r="D246" s="19" t="s">
        <v>1797</v>
      </c>
      <c r="E246" s="17" t="s">
        <v>493</v>
      </c>
      <c r="F246" s="17">
        <f t="shared" si="3"/>
        <v>1</v>
      </c>
    </row>
    <row r="247" spans="1:6" ht="15" customHeight="1" x14ac:dyDescent="0.3">
      <c r="A247" s="17" t="s">
        <v>1798</v>
      </c>
      <c r="B247" s="17" t="s">
        <v>495</v>
      </c>
      <c r="C247" s="19" t="s">
        <v>1799</v>
      </c>
      <c r="D247" s="17" t="s">
        <v>1800</v>
      </c>
      <c r="E247" s="17" t="s">
        <v>493</v>
      </c>
      <c r="F247" s="17">
        <f t="shared" si="3"/>
        <v>1</v>
      </c>
    </row>
    <row r="248" spans="1:6" ht="15" customHeight="1" x14ac:dyDescent="0.3">
      <c r="A248" s="17" t="s">
        <v>1801</v>
      </c>
      <c r="B248" s="17" t="s">
        <v>495</v>
      </c>
      <c r="C248" s="19" t="s">
        <v>1802</v>
      </c>
      <c r="D248" s="19" t="s">
        <v>1803</v>
      </c>
      <c r="E248" s="17" t="s">
        <v>1407</v>
      </c>
      <c r="F248" s="17">
        <f t="shared" si="3"/>
        <v>2</v>
      </c>
    </row>
    <row r="249" spans="1:6" ht="15" customHeight="1" x14ac:dyDescent="0.3">
      <c r="A249" s="17" t="s">
        <v>1804</v>
      </c>
      <c r="B249" s="17" t="s">
        <v>495</v>
      </c>
      <c r="C249" s="19" t="s">
        <v>1805</v>
      </c>
      <c r="D249" s="19" t="s">
        <v>1806</v>
      </c>
      <c r="E249" s="17" t="s">
        <v>493</v>
      </c>
      <c r="F249" s="17">
        <f t="shared" si="3"/>
        <v>1</v>
      </c>
    </row>
    <row r="250" spans="1:6" ht="15" customHeight="1" x14ac:dyDescent="0.3">
      <c r="A250" s="17" t="s">
        <v>1807</v>
      </c>
      <c r="B250" s="17" t="s">
        <v>495</v>
      </c>
      <c r="C250" s="17" t="s">
        <v>1808</v>
      </c>
      <c r="D250" s="19" t="s">
        <v>1809</v>
      </c>
      <c r="E250" s="17" t="s">
        <v>559</v>
      </c>
      <c r="F250" s="17">
        <f t="shared" si="3"/>
        <v>1</v>
      </c>
    </row>
    <row r="251" spans="1:6" ht="15" customHeight="1" x14ac:dyDescent="0.3">
      <c r="A251" s="17" t="s">
        <v>1810</v>
      </c>
      <c r="B251" s="17" t="s">
        <v>723</v>
      </c>
      <c r="C251" s="19" t="s">
        <v>1811</v>
      </c>
      <c r="D251" s="17"/>
      <c r="E251" s="17" t="s">
        <v>722</v>
      </c>
      <c r="F251" s="17">
        <f t="shared" si="3"/>
        <v>1</v>
      </c>
    </row>
    <row r="252" spans="1:6" ht="15" customHeight="1" x14ac:dyDescent="0.3">
      <c r="A252" s="17" t="s">
        <v>1812</v>
      </c>
      <c r="B252" s="17" t="s">
        <v>723</v>
      </c>
      <c r="C252" s="19" t="s">
        <v>1813</v>
      </c>
      <c r="D252" s="19" t="s">
        <v>1814</v>
      </c>
      <c r="E252" s="17" t="s">
        <v>722</v>
      </c>
      <c r="F252" s="17">
        <f t="shared" si="3"/>
        <v>1</v>
      </c>
    </row>
    <row r="253" spans="1:6" ht="15" customHeight="1" x14ac:dyDescent="0.3">
      <c r="A253" s="17" t="s">
        <v>1815</v>
      </c>
      <c r="B253" s="17" t="s">
        <v>723</v>
      </c>
      <c r="C253" s="19" t="s">
        <v>1816</v>
      </c>
      <c r="D253" s="19" t="s">
        <v>1817</v>
      </c>
      <c r="E253" s="17" t="s">
        <v>704</v>
      </c>
      <c r="F253" s="17">
        <f t="shared" si="3"/>
        <v>1</v>
      </c>
    </row>
    <row r="254" spans="1:6" ht="15" customHeight="1" x14ac:dyDescent="0.3">
      <c r="A254" s="17" t="s">
        <v>1818</v>
      </c>
      <c r="B254" s="17" t="s">
        <v>723</v>
      </c>
      <c r="C254" s="19" t="s">
        <v>1819</v>
      </c>
      <c r="D254" s="19" t="s">
        <v>1820</v>
      </c>
      <c r="E254" s="17" t="s">
        <v>1821</v>
      </c>
      <c r="F254" s="17">
        <f t="shared" si="3"/>
        <v>2</v>
      </c>
    </row>
    <row r="255" spans="1:6" ht="29.25" customHeight="1" x14ac:dyDescent="0.3">
      <c r="A255" s="17" t="s">
        <v>1822</v>
      </c>
      <c r="B255" s="17" t="s">
        <v>723</v>
      </c>
      <c r="C255" s="19" t="s">
        <v>1823</v>
      </c>
      <c r="D255" s="19" t="s">
        <v>1824</v>
      </c>
      <c r="E255" s="17" t="s">
        <v>1825</v>
      </c>
      <c r="F255" s="17">
        <f t="shared" si="3"/>
        <v>3</v>
      </c>
    </row>
    <row r="256" spans="1:6" ht="15" customHeight="1" x14ac:dyDescent="0.3">
      <c r="A256" s="17" t="s">
        <v>1826</v>
      </c>
      <c r="B256" s="17" t="s">
        <v>723</v>
      </c>
      <c r="C256" s="19" t="s">
        <v>1827</v>
      </c>
      <c r="D256" s="19" t="s">
        <v>1828</v>
      </c>
      <c r="E256" s="17" t="s">
        <v>1829</v>
      </c>
      <c r="F256" s="17">
        <f t="shared" si="3"/>
        <v>3</v>
      </c>
    </row>
    <row r="257" spans="1:6" ht="15" customHeight="1" x14ac:dyDescent="0.3">
      <c r="A257" s="17" t="s">
        <v>1830</v>
      </c>
      <c r="B257" s="17" t="s">
        <v>723</v>
      </c>
      <c r="C257" s="17" t="s">
        <v>1831</v>
      </c>
      <c r="D257" s="17" t="s">
        <v>1832</v>
      </c>
      <c r="E257" s="17" t="s">
        <v>1833</v>
      </c>
      <c r="F257" s="17">
        <f t="shared" si="3"/>
        <v>3</v>
      </c>
    </row>
    <row r="258" spans="1:6" ht="15" customHeight="1" x14ac:dyDescent="0.3">
      <c r="A258" s="17" t="s">
        <v>1834</v>
      </c>
      <c r="B258" s="17" t="s">
        <v>723</v>
      </c>
      <c r="C258" s="19" t="s">
        <v>1835</v>
      </c>
      <c r="D258" s="17" t="s">
        <v>1836</v>
      </c>
      <c r="E258" s="17" t="s">
        <v>722</v>
      </c>
      <c r="F258" s="17">
        <f t="shared" si="3"/>
        <v>1</v>
      </c>
    </row>
    <row r="259" spans="1:6" ht="15" customHeight="1" x14ac:dyDescent="0.3">
      <c r="A259" s="17" t="s">
        <v>1837</v>
      </c>
      <c r="B259" s="17" t="s">
        <v>723</v>
      </c>
      <c r="C259" s="19" t="s">
        <v>1838</v>
      </c>
      <c r="D259" s="17"/>
      <c r="E259" s="17" t="s">
        <v>1839</v>
      </c>
      <c r="F259" s="17">
        <f t="shared" si="3"/>
        <v>6</v>
      </c>
    </row>
    <row r="260" spans="1:6" ht="15" customHeight="1" x14ac:dyDescent="0.3">
      <c r="A260" s="17" t="s">
        <v>1840</v>
      </c>
      <c r="B260" s="17" t="s">
        <v>244</v>
      </c>
      <c r="C260" s="19" t="s">
        <v>1841</v>
      </c>
      <c r="D260" s="17"/>
      <c r="E260" s="17" t="s">
        <v>242</v>
      </c>
      <c r="F260" s="17">
        <f t="shared" si="3"/>
        <v>1</v>
      </c>
    </row>
    <row r="261" spans="1:6" ht="15" customHeight="1" x14ac:dyDescent="0.3">
      <c r="A261" s="17" t="s">
        <v>1842</v>
      </c>
      <c r="B261" s="17" t="s">
        <v>244</v>
      </c>
      <c r="C261" s="17" t="s">
        <v>1843</v>
      </c>
      <c r="D261" s="17" t="s">
        <v>1844</v>
      </c>
      <c r="E261" s="17" t="s">
        <v>1845</v>
      </c>
      <c r="F261" s="17">
        <f t="shared" ref="F261:F324" si="4">IF(TRIM(E261)="",0,LEN(E261)-LEN(SUBSTITUTE(E261,",",""))+1)</f>
        <v>2</v>
      </c>
    </row>
    <row r="262" spans="1:6" ht="15" customHeight="1" x14ac:dyDescent="0.3">
      <c r="A262" s="17" t="s">
        <v>1846</v>
      </c>
      <c r="B262" s="17" t="s">
        <v>244</v>
      </c>
      <c r="C262" s="17" t="s">
        <v>1847</v>
      </c>
      <c r="D262" s="19" t="s">
        <v>1848</v>
      </c>
      <c r="E262" s="17" t="s">
        <v>242</v>
      </c>
      <c r="F262" s="17">
        <f t="shared" si="4"/>
        <v>1</v>
      </c>
    </row>
    <row r="263" spans="1:6" ht="15" customHeight="1" x14ac:dyDescent="0.3">
      <c r="A263" s="17" t="s">
        <v>1849</v>
      </c>
      <c r="B263" s="17" t="s">
        <v>244</v>
      </c>
      <c r="C263" s="17" t="s">
        <v>1850</v>
      </c>
      <c r="D263" s="19" t="s">
        <v>1851</v>
      </c>
      <c r="E263" s="17" t="s">
        <v>242</v>
      </c>
      <c r="F263" s="17">
        <f t="shared" si="4"/>
        <v>1</v>
      </c>
    </row>
    <row r="264" spans="1:6" ht="15" customHeight="1" x14ac:dyDescent="0.3">
      <c r="A264" s="17" t="s">
        <v>1852</v>
      </c>
      <c r="B264" s="17" t="s">
        <v>244</v>
      </c>
      <c r="C264" s="17" t="s">
        <v>1853</v>
      </c>
      <c r="D264" s="17" t="s">
        <v>1854</v>
      </c>
      <c r="E264" s="17" t="s">
        <v>242</v>
      </c>
      <c r="F264" s="17">
        <f t="shared" si="4"/>
        <v>1</v>
      </c>
    </row>
    <row r="265" spans="1:6" ht="15" customHeight="1" x14ac:dyDescent="0.3">
      <c r="A265" s="17" t="s">
        <v>1855</v>
      </c>
      <c r="B265" s="17" t="s">
        <v>244</v>
      </c>
      <c r="C265" s="19" t="s">
        <v>1856</v>
      </c>
      <c r="D265" s="19" t="s">
        <v>1857</v>
      </c>
      <c r="E265" s="17" t="s">
        <v>242</v>
      </c>
      <c r="F265" s="17">
        <f t="shared" si="4"/>
        <v>1</v>
      </c>
    </row>
    <row r="266" spans="1:6" ht="15" customHeight="1" x14ac:dyDescent="0.3">
      <c r="A266" s="17" t="s">
        <v>1858</v>
      </c>
      <c r="B266" s="17" t="s">
        <v>244</v>
      </c>
      <c r="C266" s="17" t="s">
        <v>1859</v>
      </c>
      <c r="D266" s="19" t="s">
        <v>1860</v>
      </c>
      <c r="E266" s="17" t="s">
        <v>315</v>
      </c>
      <c r="F266" s="17">
        <f t="shared" si="4"/>
        <v>1</v>
      </c>
    </row>
    <row r="267" spans="1:6" ht="15" customHeight="1" x14ac:dyDescent="0.3">
      <c r="A267" s="17" t="s">
        <v>1861</v>
      </c>
      <c r="B267" s="17" t="s">
        <v>244</v>
      </c>
      <c r="C267" s="19" t="s">
        <v>1862</v>
      </c>
      <c r="D267" s="17" t="s">
        <v>1863</v>
      </c>
      <c r="E267" s="17" t="s">
        <v>242</v>
      </c>
      <c r="F267" s="17">
        <f t="shared" si="4"/>
        <v>1</v>
      </c>
    </row>
    <row r="268" spans="1:6" ht="15" customHeight="1" x14ac:dyDescent="0.3">
      <c r="A268" s="17" t="s">
        <v>1864</v>
      </c>
      <c r="B268" s="17" t="s">
        <v>244</v>
      </c>
      <c r="C268" s="19" t="s">
        <v>1865</v>
      </c>
      <c r="D268" s="17" t="s">
        <v>1866</v>
      </c>
      <c r="E268" s="17" t="s">
        <v>319</v>
      </c>
      <c r="F268" s="17">
        <f t="shared" si="4"/>
        <v>1</v>
      </c>
    </row>
    <row r="269" spans="1:6" ht="23.25" customHeight="1" x14ac:dyDescent="0.3">
      <c r="A269" s="17" t="s">
        <v>1867</v>
      </c>
      <c r="B269" s="17" t="s">
        <v>244</v>
      </c>
      <c r="C269" s="17" t="s">
        <v>1868</v>
      </c>
      <c r="D269" s="17" t="s">
        <v>1869</v>
      </c>
      <c r="E269" s="17" t="s">
        <v>323</v>
      </c>
      <c r="F269" s="17">
        <f t="shared" si="4"/>
        <v>1</v>
      </c>
    </row>
    <row r="270" spans="1:6" ht="15" customHeight="1" x14ac:dyDescent="0.3">
      <c r="A270" s="17" t="s">
        <v>1870</v>
      </c>
      <c r="B270" s="17" t="s">
        <v>244</v>
      </c>
      <c r="C270" s="19" t="s">
        <v>1871</v>
      </c>
      <c r="D270" s="17" t="s">
        <v>1872</v>
      </c>
      <c r="E270" s="17" t="s">
        <v>242</v>
      </c>
      <c r="F270" s="17">
        <f t="shared" si="4"/>
        <v>1</v>
      </c>
    </row>
    <row r="271" spans="1:6" ht="15" customHeight="1" x14ac:dyDescent="0.3">
      <c r="A271" s="17" t="s">
        <v>1873</v>
      </c>
      <c r="B271" s="17" t="s">
        <v>1874</v>
      </c>
      <c r="C271" s="19" t="s">
        <v>1875</v>
      </c>
      <c r="D271" s="19" t="s">
        <v>1876</v>
      </c>
      <c r="E271" s="17" t="s">
        <v>1877</v>
      </c>
      <c r="F271" s="17">
        <f t="shared" si="4"/>
        <v>6</v>
      </c>
    </row>
    <row r="272" spans="1:6" ht="15" customHeight="1" x14ac:dyDescent="0.3">
      <c r="A272" s="17" t="s">
        <v>1878</v>
      </c>
      <c r="B272" s="17" t="s">
        <v>1874</v>
      </c>
      <c r="C272" s="19" t="s">
        <v>1879</v>
      </c>
      <c r="D272" s="19" t="s">
        <v>1880</v>
      </c>
      <c r="E272" s="17" t="s">
        <v>210</v>
      </c>
      <c r="F272" s="17">
        <f t="shared" si="4"/>
        <v>1</v>
      </c>
    </row>
    <row r="273" spans="1:6" ht="15" customHeight="1" x14ac:dyDescent="0.3">
      <c r="A273" s="17" t="s">
        <v>1881</v>
      </c>
      <c r="B273" s="17" t="s">
        <v>1882</v>
      </c>
      <c r="C273" s="19" t="s">
        <v>1883</v>
      </c>
      <c r="D273" s="17" t="s">
        <v>1884</v>
      </c>
      <c r="E273" s="17" t="s">
        <v>287</v>
      </c>
      <c r="F273" s="17">
        <f t="shared" si="4"/>
        <v>1</v>
      </c>
    </row>
    <row r="274" spans="1:6" ht="15" customHeight="1" x14ac:dyDescent="0.3">
      <c r="A274" s="17" t="s">
        <v>1885</v>
      </c>
      <c r="B274" s="17" t="s">
        <v>1882</v>
      </c>
      <c r="C274" s="19" t="s">
        <v>1886</v>
      </c>
      <c r="D274" s="19" t="s">
        <v>1887</v>
      </c>
      <c r="E274" s="17" t="s">
        <v>344</v>
      </c>
      <c r="F274" s="17">
        <f t="shared" si="4"/>
        <v>1</v>
      </c>
    </row>
    <row r="275" spans="1:6" ht="15" customHeight="1" x14ac:dyDescent="0.3">
      <c r="A275" s="17" t="s">
        <v>1888</v>
      </c>
      <c r="B275" s="17" t="s">
        <v>1882</v>
      </c>
      <c r="C275" s="17" t="s">
        <v>1889</v>
      </c>
      <c r="D275" s="19" t="s">
        <v>1890</v>
      </c>
      <c r="E275" s="17" t="s">
        <v>287</v>
      </c>
      <c r="F275" s="17">
        <f t="shared" si="4"/>
        <v>1</v>
      </c>
    </row>
    <row r="276" spans="1:6" ht="15" customHeight="1" x14ac:dyDescent="0.3">
      <c r="A276" s="17" t="s">
        <v>1891</v>
      </c>
      <c r="B276" s="17" t="s">
        <v>1882</v>
      </c>
      <c r="C276" s="19" t="s">
        <v>1892</v>
      </c>
      <c r="D276" s="19" t="s">
        <v>1893</v>
      </c>
      <c r="E276" s="17" t="s">
        <v>287</v>
      </c>
      <c r="F276" s="17">
        <f t="shared" si="4"/>
        <v>1</v>
      </c>
    </row>
    <row r="277" spans="1:6" ht="15" customHeight="1" x14ac:dyDescent="0.3">
      <c r="A277" s="17" t="s">
        <v>1894</v>
      </c>
      <c r="B277" s="17" t="s">
        <v>1882</v>
      </c>
      <c r="C277" s="19" t="s">
        <v>1895</v>
      </c>
      <c r="D277" s="17" t="s">
        <v>1896</v>
      </c>
      <c r="E277" s="17" t="s">
        <v>292</v>
      </c>
      <c r="F277" s="17">
        <f t="shared" si="4"/>
        <v>1</v>
      </c>
    </row>
    <row r="278" spans="1:6" ht="15" customHeight="1" x14ac:dyDescent="0.3">
      <c r="A278" s="17" t="s">
        <v>1897</v>
      </c>
      <c r="B278" s="17" t="s">
        <v>1882</v>
      </c>
      <c r="C278" s="19" t="s">
        <v>1898</v>
      </c>
      <c r="D278" s="17"/>
      <c r="E278" s="17" t="s">
        <v>282</v>
      </c>
      <c r="F278" s="17">
        <f t="shared" si="4"/>
        <v>1</v>
      </c>
    </row>
    <row r="279" spans="1:6" ht="15" customHeight="1" x14ac:dyDescent="0.3">
      <c r="A279" s="17" t="s">
        <v>1899</v>
      </c>
      <c r="B279" s="17" t="s">
        <v>412</v>
      </c>
      <c r="C279" s="17" t="s">
        <v>1900</v>
      </c>
      <c r="D279" s="19" t="s">
        <v>1901</v>
      </c>
      <c r="E279" s="17" t="s">
        <v>712</v>
      </c>
      <c r="F279" s="17">
        <f t="shared" si="4"/>
        <v>1</v>
      </c>
    </row>
    <row r="280" spans="1:6" ht="29.25" customHeight="1" x14ac:dyDescent="0.3">
      <c r="A280" s="17" t="s">
        <v>1902</v>
      </c>
      <c r="B280" s="17" t="s">
        <v>412</v>
      </c>
      <c r="C280" s="17" t="s">
        <v>1903</v>
      </c>
      <c r="D280" s="17" t="s">
        <v>1904</v>
      </c>
      <c r="E280" s="17" t="s">
        <v>767</v>
      </c>
      <c r="F280" s="17">
        <f t="shared" si="4"/>
        <v>1</v>
      </c>
    </row>
    <row r="281" spans="1:6" ht="15" customHeight="1" x14ac:dyDescent="0.3">
      <c r="A281" s="17" t="s">
        <v>1905</v>
      </c>
      <c r="B281" s="17" t="s">
        <v>412</v>
      </c>
      <c r="C281" s="19" t="s">
        <v>1906</v>
      </c>
      <c r="D281" s="17" t="s">
        <v>1907</v>
      </c>
      <c r="E281" s="17" t="s">
        <v>778</v>
      </c>
      <c r="F281" s="17">
        <f t="shared" si="4"/>
        <v>1</v>
      </c>
    </row>
    <row r="282" spans="1:6" ht="15" customHeight="1" x14ac:dyDescent="0.3">
      <c r="A282" s="17" t="s">
        <v>1908</v>
      </c>
      <c r="B282" s="17" t="s">
        <v>522</v>
      </c>
      <c r="C282" s="19" t="s">
        <v>1909</v>
      </c>
      <c r="D282" s="19" t="s">
        <v>1910</v>
      </c>
      <c r="E282" s="17" t="s">
        <v>1911</v>
      </c>
      <c r="F282" s="17">
        <f t="shared" si="4"/>
        <v>2</v>
      </c>
    </row>
    <row r="283" spans="1:6" ht="15" customHeight="1" x14ac:dyDescent="0.3">
      <c r="A283" s="17" t="s">
        <v>1912</v>
      </c>
      <c r="B283" s="17" t="s">
        <v>522</v>
      </c>
      <c r="C283" s="19" t="s">
        <v>1913</v>
      </c>
      <c r="D283" s="19" t="s">
        <v>1914</v>
      </c>
      <c r="E283" s="17" t="s">
        <v>520</v>
      </c>
      <c r="F283" s="17">
        <f t="shared" si="4"/>
        <v>1</v>
      </c>
    </row>
    <row r="284" spans="1:6" ht="15" customHeight="1" x14ac:dyDescent="0.3">
      <c r="A284" s="17" t="s">
        <v>1915</v>
      </c>
      <c r="B284" s="17" t="s">
        <v>522</v>
      </c>
      <c r="C284" s="19" t="s">
        <v>1916</v>
      </c>
      <c r="D284" s="17" t="s">
        <v>1917</v>
      </c>
      <c r="E284" s="17" t="s">
        <v>1918</v>
      </c>
      <c r="F284" s="17">
        <f t="shared" si="4"/>
        <v>2</v>
      </c>
    </row>
    <row r="285" spans="1:6" ht="15" customHeight="1" x14ac:dyDescent="0.3">
      <c r="A285" s="17" t="s">
        <v>1919</v>
      </c>
      <c r="B285" s="17" t="s">
        <v>522</v>
      </c>
      <c r="C285" s="17" t="s">
        <v>1920</v>
      </c>
      <c r="D285" s="17"/>
      <c r="E285" s="17" t="s">
        <v>626</v>
      </c>
      <c r="F285" s="17">
        <f t="shared" si="4"/>
        <v>1</v>
      </c>
    </row>
    <row r="286" spans="1:6" ht="15" customHeight="1" x14ac:dyDescent="0.3">
      <c r="A286" s="17" t="s">
        <v>1921</v>
      </c>
      <c r="B286" s="17" t="s">
        <v>773</v>
      </c>
      <c r="C286" s="19" t="s">
        <v>1922</v>
      </c>
      <c r="D286" s="19" t="s">
        <v>1923</v>
      </c>
      <c r="E286" s="17" t="s">
        <v>1924</v>
      </c>
      <c r="F286" s="17">
        <f t="shared" si="4"/>
        <v>2</v>
      </c>
    </row>
    <row r="287" spans="1:6" ht="15" customHeight="1" x14ac:dyDescent="0.3">
      <c r="A287" s="17" t="s">
        <v>1925</v>
      </c>
      <c r="B287" s="17" t="s">
        <v>773</v>
      </c>
      <c r="C287" s="19" t="s">
        <v>1926</v>
      </c>
      <c r="D287" s="19" t="s">
        <v>1927</v>
      </c>
      <c r="E287" s="17" t="s">
        <v>1928</v>
      </c>
      <c r="F287" s="17">
        <f t="shared" si="4"/>
        <v>3</v>
      </c>
    </row>
    <row r="288" spans="1:6" ht="29.25" customHeight="1" x14ac:dyDescent="0.3">
      <c r="A288" s="17" t="s">
        <v>1929</v>
      </c>
      <c r="B288" s="17" t="s">
        <v>773</v>
      </c>
      <c r="C288" s="19" t="s">
        <v>1930</v>
      </c>
      <c r="D288" s="19" t="s">
        <v>1931</v>
      </c>
      <c r="E288" s="17" t="s">
        <v>778</v>
      </c>
      <c r="F288" s="17">
        <f t="shared" si="4"/>
        <v>1</v>
      </c>
    </row>
    <row r="289" spans="1:6" ht="29.25" customHeight="1" x14ac:dyDescent="0.3">
      <c r="A289" s="17" t="s">
        <v>1932</v>
      </c>
      <c r="B289" s="17" t="s">
        <v>773</v>
      </c>
      <c r="C289" s="19" t="s">
        <v>1933</v>
      </c>
      <c r="D289" s="17" t="s">
        <v>1934</v>
      </c>
      <c r="E289" s="17" t="s">
        <v>712</v>
      </c>
      <c r="F289" s="17">
        <f t="shared" si="4"/>
        <v>1</v>
      </c>
    </row>
    <row r="290" spans="1:6" ht="26.25" customHeight="1" x14ac:dyDescent="0.3">
      <c r="A290" s="17" t="s">
        <v>1935</v>
      </c>
      <c r="B290" s="17" t="s">
        <v>773</v>
      </c>
      <c r="C290" s="19" t="s">
        <v>1936</v>
      </c>
      <c r="D290" s="17" t="s">
        <v>1937</v>
      </c>
      <c r="E290" s="17" t="s">
        <v>767</v>
      </c>
      <c r="F290" s="17">
        <f t="shared" si="4"/>
        <v>1</v>
      </c>
    </row>
    <row r="291" spans="1:6" ht="15" customHeight="1" x14ac:dyDescent="0.3">
      <c r="A291" s="17" t="s">
        <v>1938</v>
      </c>
      <c r="B291" s="17" t="s">
        <v>773</v>
      </c>
      <c r="C291" s="17" t="s">
        <v>774</v>
      </c>
      <c r="D291" s="19" t="s">
        <v>1939</v>
      </c>
      <c r="E291" s="17" t="s">
        <v>772</v>
      </c>
      <c r="F291" s="17">
        <f t="shared" si="4"/>
        <v>1</v>
      </c>
    </row>
    <row r="292" spans="1:6" ht="15" customHeight="1" x14ac:dyDescent="0.3">
      <c r="A292" s="17" t="s">
        <v>1940</v>
      </c>
      <c r="B292" s="17" t="s">
        <v>1941</v>
      </c>
      <c r="C292" s="17" t="s">
        <v>1942</v>
      </c>
      <c r="D292" s="19" t="s">
        <v>1943</v>
      </c>
      <c r="E292" s="17" t="s">
        <v>1944</v>
      </c>
      <c r="F292" s="17">
        <f t="shared" si="4"/>
        <v>2</v>
      </c>
    </row>
    <row r="293" spans="1:6" ht="26.25" customHeight="1" x14ac:dyDescent="0.3">
      <c r="A293" s="17" t="s">
        <v>1945</v>
      </c>
      <c r="B293" s="17" t="s">
        <v>1941</v>
      </c>
      <c r="C293" s="19" t="s">
        <v>1946</v>
      </c>
      <c r="D293" s="19" t="s">
        <v>1947</v>
      </c>
      <c r="E293" s="17" t="s">
        <v>1948</v>
      </c>
      <c r="F293" s="17">
        <f t="shared" si="4"/>
        <v>7</v>
      </c>
    </row>
    <row r="294" spans="1:6" ht="15" customHeight="1" x14ac:dyDescent="0.3">
      <c r="A294" s="17" t="s">
        <v>1949</v>
      </c>
      <c r="B294" s="17" t="s">
        <v>1941</v>
      </c>
      <c r="C294" s="19" t="s">
        <v>1950</v>
      </c>
      <c r="D294" s="17" t="s">
        <v>1951</v>
      </c>
      <c r="E294" s="17" t="s">
        <v>1952</v>
      </c>
      <c r="F294" s="17">
        <f t="shared" si="4"/>
        <v>3</v>
      </c>
    </row>
    <row r="295" spans="1:6" ht="15" customHeight="1" x14ac:dyDescent="0.3">
      <c r="A295" s="17" t="s">
        <v>1953</v>
      </c>
      <c r="B295" s="17" t="s">
        <v>1941</v>
      </c>
      <c r="C295" s="19" t="s">
        <v>1954</v>
      </c>
      <c r="D295" s="19" t="s">
        <v>1955</v>
      </c>
      <c r="E295" s="17" t="s">
        <v>579</v>
      </c>
      <c r="F295" s="17">
        <f t="shared" si="4"/>
        <v>1</v>
      </c>
    </row>
    <row r="296" spans="1:6" ht="15" customHeight="1" x14ac:dyDescent="0.3">
      <c r="A296" s="17" t="s">
        <v>1956</v>
      </c>
      <c r="B296" s="17" t="s">
        <v>257</v>
      </c>
      <c r="C296" s="19" t="s">
        <v>1957</v>
      </c>
      <c r="D296" s="19" t="s">
        <v>1958</v>
      </c>
      <c r="E296" s="17" t="s">
        <v>210</v>
      </c>
      <c r="F296" s="17">
        <f t="shared" si="4"/>
        <v>1</v>
      </c>
    </row>
    <row r="297" spans="1:6" ht="15" customHeight="1" x14ac:dyDescent="0.3">
      <c r="A297" s="17" t="s">
        <v>1959</v>
      </c>
      <c r="B297" s="17" t="s">
        <v>257</v>
      </c>
      <c r="C297" s="17" t="s">
        <v>1960</v>
      </c>
      <c r="D297" s="17" t="s">
        <v>1961</v>
      </c>
      <c r="E297" s="17" t="s">
        <v>255</v>
      </c>
      <c r="F297" s="17">
        <f t="shared" si="4"/>
        <v>1</v>
      </c>
    </row>
    <row r="298" spans="1:6" ht="15" customHeight="1" x14ac:dyDescent="0.3">
      <c r="A298" s="17" t="s">
        <v>1962</v>
      </c>
      <c r="B298" s="17" t="s">
        <v>257</v>
      </c>
      <c r="C298" s="17" t="s">
        <v>1963</v>
      </c>
      <c r="D298" s="17" t="s">
        <v>1964</v>
      </c>
      <c r="E298" s="17" t="s">
        <v>262</v>
      </c>
      <c r="F298" s="17">
        <f t="shared" si="4"/>
        <v>1</v>
      </c>
    </row>
    <row r="299" spans="1:6" ht="15" customHeight="1" x14ac:dyDescent="0.3">
      <c r="A299" s="17" t="s">
        <v>1965</v>
      </c>
      <c r="B299" s="17" t="s">
        <v>257</v>
      </c>
      <c r="C299" s="17" t="s">
        <v>1966</v>
      </c>
      <c r="D299" s="17" t="s">
        <v>1967</v>
      </c>
      <c r="E299" s="17" t="s">
        <v>266</v>
      </c>
      <c r="F299" s="17">
        <f t="shared" si="4"/>
        <v>1</v>
      </c>
    </row>
    <row r="300" spans="1:6" ht="15" customHeight="1" x14ac:dyDescent="0.3">
      <c r="A300" s="17" t="s">
        <v>1968</v>
      </c>
      <c r="B300" s="17" t="s">
        <v>257</v>
      </c>
      <c r="C300" s="17" t="s">
        <v>1969</v>
      </c>
      <c r="D300" s="17" t="s">
        <v>1970</v>
      </c>
      <c r="E300" s="17" t="s">
        <v>270</v>
      </c>
      <c r="F300" s="17">
        <f t="shared" si="4"/>
        <v>1</v>
      </c>
    </row>
    <row r="301" spans="1:6" ht="15" customHeight="1" x14ac:dyDescent="0.3">
      <c r="A301" s="17" t="s">
        <v>1971</v>
      </c>
      <c r="B301" s="17" t="s">
        <v>257</v>
      </c>
      <c r="C301" s="17" t="s">
        <v>1972</v>
      </c>
      <c r="D301" s="17" t="s">
        <v>1973</v>
      </c>
      <c r="E301" s="17" t="s">
        <v>274</v>
      </c>
      <c r="F301" s="17">
        <f t="shared" si="4"/>
        <v>1</v>
      </c>
    </row>
    <row r="302" spans="1:6" ht="15" customHeight="1" x14ac:dyDescent="0.3">
      <c r="A302" s="17" t="s">
        <v>1974</v>
      </c>
      <c r="B302" s="17" t="s">
        <v>257</v>
      </c>
      <c r="C302" s="17" t="s">
        <v>1975</v>
      </c>
      <c r="D302" s="17" t="s">
        <v>1976</v>
      </c>
      <c r="E302" s="17" t="s">
        <v>278</v>
      </c>
      <c r="F302" s="17">
        <f t="shared" si="4"/>
        <v>1</v>
      </c>
    </row>
    <row r="303" spans="1:6" ht="29.25" customHeight="1" x14ac:dyDescent="0.3">
      <c r="A303" s="17" t="s">
        <v>1977</v>
      </c>
      <c r="B303" s="17" t="s">
        <v>257</v>
      </c>
      <c r="C303" s="19" t="s">
        <v>1978</v>
      </c>
      <c r="D303" s="19" t="s">
        <v>1979</v>
      </c>
      <c r="E303" s="17" t="s">
        <v>210</v>
      </c>
      <c r="F303" s="17">
        <f t="shared" si="4"/>
        <v>1</v>
      </c>
    </row>
    <row r="304" spans="1:6" ht="23.25" customHeight="1" x14ac:dyDescent="0.3">
      <c r="A304" s="17" t="s">
        <v>1980</v>
      </c>
      <c r="B304" s="17" t="s">
        <v>257</v>
      </c>
      <c r="C304" s="19" t="s">
        <v>1981</v>
      </c>
      <c r="D304" s="17" t="s">
        <v>1982</v>
      </c>
      <c r="E304" s="17" t="s">
        <v>229</v>
      </c>
      <c r="F304" s="17">
        <f t="shared" si="4"/>
        <v>1</v>
      </c>
    </row>
    <row r="305" spans="1:6" ht="15" customHeight="1" x14ac:dyDescent="0.3">
      <c r="A305" s="17" t="s">
        <v>1983</v>
      </c>
      <c r="B305" s="17" t="s">
        <v>257</v>
      </c>
      <c r="C305" s="19" t="s">
        <v>1984</v>
      </c>
      <c r="D305" s="19" t="s">
        <v>1985</v>
      </c>
      <c r="E305" s="17" t="s">
        <v>229</v>
      </c>
      <c r="F305" s="17">
        <f t="shared" si="4"/>
        <v>1</v>
      </c>
    </row>
    <row r="306" spans="1:6" ht="15" customHeight="1" x14ac:dyDescent="0.3">
      <c r="A306" s="17" t="s">
        <v>1986</v>
      </c>
      <c r="B306" s="17" t="s">
        <v>283</v>
      </c>
      <c r="C306" s="19" t="s">
        <v>1987</v>
      </c>
      <c r="D306" s="17"/>
      <c r="E306" s="17" t="s">
        <v>1339</v>
      </c>
      <c r="F306" s="17">
        <f t="shared" si="4"/>
        <v>2</v>
      </c>
    </row>
    <row r="307" spans="1:6" ht="15" customHeight="1" x14ac:dyDescent="0.3">
      <c r="A307" s="17" t="s">
        <v>1988</v>
      </c>
      <c r="B307" s="17" t="s">
        <v>283</v>
      </c>
      <c r="C307" s="17" t="s">
        <v>1989</v>
      </c>
      <c r="D307" s="19" t="s">
        <v>1990</v>
      </c>
      <c r="E307" s="17" t="s">
        <v>217</v>
      </c>
      <c r="F307" s="17">
        <f t="shared" si="4"/>
        <v>1</v>
      </c>
    </row>
    <row r="308" spans="1:6" ht="15" customHeight="1" x14ac:dyDescent="0.3">
      <c r="A308" s="17" t="s">
        <v>1991</v>
      </c>
      <c r="B308" s="17" t="s">
        <v>283</v>
      </c>
      <c r="C308" s="17" t="s">
        <v>1992</v>
      </c>
      <c r="D308" s="19" t="s">
        <v>1993</v>
      </c>
      <c r="E308" s="17" t="s">
        <v>217</v>
      </c>
      <c r="F308" s="17">
        <f t="shared" si="4"/>
        <v>1</v>
      </c>
    </row>
    <row r="309" spans="1:6" ht="15" customHeight="1" x14ac:dyDescent="0.3">
      <c r="A309" s="17" t="s">
        <v>1994</v>
      </c>
      <c r="B309" s="17" t="s">
        <v>283</v>
      </c>
      <c r="C309" s="17" t="s">
        <v>1995</v>
      </c>
      <c r="D309" s="19" t="s">
        <v>1996</v>
      </c>
      <c r="E309" s="17" t="s">
        <v>282</v>
      </c>
      <c r="F309" s="17">
        <f t="shared" si="4"/>
        <v>1</v>
      </c>
    </row>
    <row r="310" spans="1:6" ht="15" customHeight="1" x14ac:dyDescent="0.3">
      <c r="A310" s="17" t="s">
        <v>1997</v>
      </c>
      <c r="B310" s="17" t="s">
        <v>283</v>
      </c>
      <c r="C310" s="17" t="s">
        <v>1998</v>
      </c>
      <c r="D310" s="19" t="s">
        <v>1999</v>
      </c>
      <c r="E310" s="17" t="s">
        <v>2000</v>
      </c>
      <c r="F310" s="17">
        <f t="shared" si="4"/>
        <v>2</v>
      </c>
    </row>
    <row r="311" spans="1:6" ht="23.25" customHeight="1" x14ac:dyDescent="0.3">
      <c r="A311" s="17" t="s">
        <v>2001</v>
      </c>
      <c r="B311" s="17" t="s">
        <v>283</v>
      </c>
      <c r="C311" s="19" t="s">
        <v>2002</v>
      </c>
      <c r="D311" s="17" t="s">
        <v>2003</v>
      </c>
      <c r="E311" s="17" t="s">
        <v>224</v>
      </c>
      <c r="F311" s="17">
        <f t="shared" si="4"/>
        <v>1</v>
      </c>
    </row>
    <row r="312" spans="1:6" ht="15" customHeight="1" x14ac:dyDescent="0.3">
      <c r="A312" s="17" t="s">
        <v>2004</v>
      </c>
      <c r="B312" s="17" t="s">
        <v>283</v>
      </c>
      <c r="C312" s="19" t="s">
        <v>2005</v>
      </c>
      <c r="D312" s="17"/>
      <c r="E312" s="17" t="s">
        <v>282</v>
      </c>
      <c r="F312" s="17">
        <f t="shared" si="4"/>
        <v>1</v>
      </c>
    </row>
    <row r="313" spans="1:6" ht="15" customHeight="1" x14ac:dyDescent="0.3">
      <c r="A313" s="17" t="s">
        <v>2006</v>
      </c>
      <c r="B313" s="17" t="s">
        <v>283</v>
      </c>
      <c r="C313" s="19" t="s">
        <v>2007</v>
      </c>
      <c r="D313" s="19" t="s">
        <v>2008</v>
      </c>
      <c r="E313" s="17" t="s">
        <v>2009</v>
      </c>
      <c r="F313" s="17">
        <f t="shared" si="4"/>
        <v>4</v>
      </c>
    </row>
    <row r="314" spans="1:6" ht="15" customHeight="1" x14ac:dyDescent="0.3">
      <c r="A314" s="17" t="s">
        <v>2010</v>
      </c>
      <c r="B314" s="17" t="s">
        <v>283</v>
      </c>
      <c r="C314" s="17" t="s">
        <v>2011</v>
      </c>
      <c r="D314" s="17" t="s">
        <v>2012</v>
      </c>
      <c r="E314" s="17" t="s">
        <v>287</v>
      </c>
      <c r="F314" s="17">
        <f t="shared" si="4"/>
        <v>1</v>
      </c>
    </row>
    <row r="315" spans="1:6" ht="15" customHeight="1" x14ac:dyDescent="0.3">
      <c r="A315" s="17" t="s">
        <v>2013</v>
      </c>
      <c r="B315" s="17" t="s">
        <v>283</v>
      </c>
      <c r="C315" s="19" t="s">
        <v>2014</v>
      </c>
      <c r="D315" s="19" t="s">
        <v>2015</v>
      </c>
      <c r="E315" s="17" t="s">
        <v>287</v>
      </c>
      <c r="F315" s="17">
        <f t="shared" si="4"/>
        <v>1</v>
      </c>
    </row>
    <row r="316" spans="1:6" ht="15" customHeight="1" x14ac:dyDescent="0.3">
      <c r="A316" s="17" t="s">
        <v>2016</v>
      </c>
      <c r="B316" s="17" t="s">
        <v>283</v>
      </c>
      <c r="C316" s="19" t="s">
        <v>2017</v>
      </c>
      <c r="D316" s="17" t="s">
        <v>2018</v>
      </c>
      <c r="E316" s="17" t="s">
        <v>2019</v>
      </c>
      <c r="F316" s="17">
        <f t="shared" si="4"/>
        <v>2</v>
      </c>
    </row>
    <row r="317" spans="1:6" ht="15" customHeight="1" x14ac:dyDescent="0.3">
      <c r="A317" s="17" t="s">
        <v>2020</v>
      </c>
      <c r="B317" s="17" t="s">
        <v>283</v>
      </c>
      <c r="C317" s="19" t="s">
        <v>2021</v>
      </c>
      <c r="D317" s="19" t="s">
        <v>2022</v>
      </c>
      <c r="E317" s="17" t="s">
        <v>344</v>
      </c>
      <c r="F317" s="17">
        <f t="shared" si="4"/>
        <v>1</v>
      </c>
    </row>
    <row r="318" spans="1:6" ht="15" customHeight="1" x14ac:dyDescent="0.3">
      <c r="A318" s="17" t="s">
        <v>2023</v>
      </c>
      <c r="B318" s="17" t="s">
        <v>528</v>
      </c>
      <c r="C318" s="19" t="s">
        <v>2024</v>
      </c>
      <c r="D318" s="17" t="s">
        <v>2025</v>
      </c>
      <c r="E318" s="17" t="s">
        <v>704</v>
      </c>
      <c r="F318" s="17">
        <f t="shared" si="4"/>
        <v>1</v>
      </c>
    </row>
    <row r="319" spans="1:6" ht="15" customHeight="1" x14ac:dyDescent="0.3">
      <c r="A319" s="17" t="s">
        <v>2026</v>
      </c>
      <c r="B319" s="17" t="s">
        <v>528</v>
      </c>
      <c r="C319" s="19" t="s">
        <v>2027</v>
      </c>
      <c r="D319" s="17" t="s">
        <v>2028</v>
      </c>
      <c r="E319" s="17" t="s">
        <v>718</v>
      </c>
      <c r="F319" s="17">
        <f t="shared" si="4"/>
        <v>1</v>
      </c>
    </row>
    <row r="320" spans="1:6" ht="15" customHeight="1" x14ac:dyDescent="0.3">
      <c r="A320" s="17" t="s">
        <v>2029</v>
      </c>
      <c r="B320" s="17" t="s">
        <v>528</v>
      </c>
      <c r="C320" s="17" t="s">
        <v>2030</v>
      </c>
      <c r="D320" s="19" t="s">
        <v>2031</v>
      </c>
      <c r="E320" s="17" t="s">
        <v>718</v>
      </c>
      <c r="F320" s="17">
        <f t="shared" si="4"/>
        <v>1</v>
      </c>
    </row>
    <row r="321" spans="1:6" ht="15" customHeight="1" x14ac:dyDescent="0.3">
      <c r="A321" s="17" t="s">
        <v>2032</v>
      </c>
      <c r="B321" s="17" t="s">
        <v>528</v>
      </c>
      <c r="C321" s="17" t="s">
        <v>2033</v>
      </c>
      <c r="D321" s="19" t="s">
        <v>2034</v>
      </c>
      <c r="E321" s="17" t="s">
        <v>718</v>
      </c>
      <c r="F321" s="17">
        <f t="shared" si="4"/>
        <v>1</v>
      </c>
    </row>
    <row r="322" spans="1:6" ht="15" customHeight="1" x14ac:dyDescent="0.3">
      <c r="A322" s="17" t="s">
        <v>2035</v>
      </c>
      <c r="B322" s="17" t="s">
        <v>528</v>
      </c>
      <c r="C322" s="17" t="s">
        <v>2036</v>
      </c>
      <c r="D322" s="19" t="s">
        <v>2037</v>
      </c>
      <c r="E322" s="17" t="s">
        <v>718</v>
      </c>
      <c r="F322" s="17">
        <f t="shared" si="4"/>
        <v>1</v>
      </c>
    </row>
    <row r="323" spans="1:6" ht="15" customHeight="1" x14ac:dyDescent="0.3">
      <c r="A323" s="17" t="s">
        <v>2038</v>
      </c>
      <c r="B323" s="17" t="s">
        <v>528</v>
      </c>
      <c r="C323" s="17" t="s">
        <v>2039</v>
      </c>
      <c r="D323" s="17" t="s">
        <v>2040</v>
      </c>
      <c r="E323" s="17" t="s">
        <v>718</v>
      </c>
      <c r="F323" s="17">
        <f t="shared" si="4"/>
        <v>1</v>
      </c>
    </row>
    <row r="324" spans="1:6" ht="15" customHeight="1" x14ac:dyDescent="0.3">
      <c r="A324" s="17" t="s">
        <v>2041</v>
      </c>
      <c r="B324" s="17" t="s">
        <v>528</v>
      </c>
      <c r="C324" s="19" t="s">
        <v>2042</v>
      </c>
      <c r="D324" s="19" t="s">
        <v>2043</v>
      </c>
      <c r="E324" s="17" t="s">
        <v>734</v>
      </c>
      <c r="F324" s="17">
        <f t="shared" si="4"/>
        <v>1</v>
      </c>
    </row>
    <row r="325" spans="1:6" ht="15" customHeight="1" x14ac:dyDescent="0.3">
      <c r="A325" s="17" t="s">
        <v>2044</v>
      </c>
      <c r="B325" s="17" t="s">
        <v>528</v>
      </c>
      <c r="C325" s="17" t="s">
        <v>2045</v>
      </c>
      <c r="D325" s="17"/>
      <c r="E325" s="17" t="s">
        <v>2046</v>
      </c>
      <c r="F325" s="17">
        <f t="shared" ref="F325:F388" si="5">IF(TRIM(E325)="",0,LEN(E325)-LEN(SUBSTITUTE(E325,",",""))+1)</f>
        <v>2</v>
      </c>
    </row>
    <row r="326" spans="1:6" ht="15" customHeight="1" x14ac:dyDescent="0.3">
      <c r="A326" s="17" t="s">
        <v>2047</v>
      </c>
      <c r="B326" s="17" t="s">
        <v>528</v>
      </c>
      <c r="C326" s="19" t="s">
        <v>2048</v>
      </c>
      <c r="D326" s="17"/>
      <c r="E326" s="17" t="s">
        <v>520</v>
      </c>
      <c r="F326" s="17">
        <f t="shared" si="5"/>
        <v>1</v>
      </c>
    </row>
    <row r="327" spans="1:6" ht="15" customHeight="1" x14ac:dyDescent="0.3">
      <c r="A327" s="17" t="s">
        <v>2049</v>
      </c>
      <c r="B327" s="17" t="s">
        <v>528</v>
      </c>
      <c r="C327" s="19" t="s">
        <v>2050</v>
      </c>
      <c r="D327" s="17" t="s">
        <v>2051</v>
      </c>
      <c r="E327" s="17" t="s">
        <v>2052</v>
      </c>
      <c r="F327" s="17">
        <f t="shared" si="5"/>
        <v>2</v>
      </c>
    </row>
    <row r="328" spans="1:6" ht="15" customHeight="1" x14ac:dyDescent="0.3">
      <c r="A328" s="17" t="s">
        <v>2053</v>
      </c>
      <c r="B328" s="17" t="s">
        <v>785</v>
      </c>
      <c r="C328" s="17" t="s">
        <v>2054</v>
      </c>
      <c r="D328" s="19" t="s">
        <v>2055</v>
      </c>
      <c r="E328" s="17" t="s">
        <v>2056</v>
      </c>
      <c r="F328" s="17">
        <f t="shared" si="5"/>
        <v>2</v>
      </c>
    </row>
    <row r="329" spans="1:6" ht="15" customHeight="1" x14ac:dyDescent="0.3">
      <c r="A329" s="17" t="s">
        <v>2057</v>
      </c>
      <c r="B329" s="17" t="s">
        <v>785</v>
      </c>
      <c r="C329" s="17" t="s">
        <v>2058</v>
      </c>
      <c r="D329" s="19" t="s">
        <v>2059</v>
      </c>
      <c r="E329" s="17" t="s">
        <v>2060</v>
      </c>
      <c r="F329" s="17">
        <f t="shared" si="5"/>
        <v>2</v>
      </c>
    </row>
    <row r="330" spans="1:6" ht="15" customHeight="1" x14ac:dyDescent="0.3">
      <c r="A330" s="17" t="s">
        <v>2061</v>
      </c>
      <c r="B330" s="17" t="s">
        <v>785</v>
      </c>
      <c r="C330" s="17" t="s">
        <v>2062</v>
      </c>
      <c r="D330" s="19" t="s">
        <v>2063</v>
      </c>
      <c r="E330" s="17" t="s">
        <v>797</v>
      </c>
      <c r="F330" s="17">
        <f t="shared" si="5"/>
        <v>1</v>
      </c>
    </row>
    <row r="331" spans="1:6" ht="15" customHeight="1" x14ac:dyDescent="0.3">
      <c r="A331" s="17" t="s">
        <v>2064</v>
      </c>
      <c r="B331" s="17" t="s">
        <v>785</v>
      </c>
      <c r="C331" s="17" t="s">
        <v>2065</v>
      </c>
      <c r="D331" s="17" t="s">
        <v>2066</v>
      </c>
      <c r="E331" s="17" t="s">
        <v>800</v>
      </c>
      <c r="F331" s="17">
        <f t="shared" si="5"/>
        <v>1</v>
      </c>
    </row>
    <row r="332" spans="1:6" ht="15" customHeight="1" x14ac:dyDescent="0.3">
      <c r="A332" s="17" t="s">
        <v>2067</v>
      </c>
      <c r="B332" s="17" t="s">
        <v>785</v>
      </c>
      <c r="C332" s="17" t="s">
        <v>2068</v>
      </c>
      <c r="D332" s="19" t="s">
        <v>2069</v>
      </c>
      <c r="E332" s="17" t="s">
        <v>803</v>
      </c>
      <c r="F332" s="17">
        <f t="shared" si="5"/>
        <v>1</v>
      </c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  <row r="978" spans="1:6" ht="15.75" customHeight="1" x14ac:dyDescent="0.3">
      <c r="A978" s="4"/>
      <c r="B978" s="4"/>
      <c r="C978" s="4"/>
      <c r="D978" s="4"/>
      <c r="E978" s="4"/>
      <c r="F978" s="4"/>
    </row>
    <row r="979" spans="1:6" ht="15.75" customHeight="1" x14ac:dyDescent="0.3">
      <c r="A979" s="4"/>
      <c r="B979" s="4"/>
      <c r="C979" s="4"/>
      <c r="D979" s="4"/>
      <c r="E979" s="4"/>
      <c r="F979" s="4"/>
    </row>
    <row r="980" spans="1:6" ht="15.75" customHeight="1" x14ac:dyDescent="0.3">
      <c r="A980" s="4"/>
      <c r="B980" s="4"/>
      <c r="C980" s="4"/>
      <c r="D980" s="4"/>
      <c r="E980" s="4"/>
      <c r="F980" s="4"/>
    </row>
    <row r="981" spans="1:6" ht="15.75" customHeight="1" x14ac:dyDescent="0.3">
      <c r="A981" s="4"/>
      <c r="B981" s="4"/>
      <c r="C981" s="4"/>
      <c r="D981" s="4"/>
      <c r="E981" s="4"/>
      <c r="F981" s="4"/>
    </row>
    <row r="982" spans="1:6" ht="15.75" customHeight="1" x14ac:dyDescent="0.3">
      <c r="A982" s="4"/>
      <c r="B982" s="4"/>
      <c r="C982" s="4"/>
      <c r="D982" s="4"/>
      <c r="E982" s="4"/>
      <c r="F982" s="4"/>
    </row>
    <row r="983" spans="1:6" ht="15.75" customHeight="1" x14ac:dyDescent="0.3">
      <c r="A983" s="4"/>
      <c r="B983" s="4"/>
      <c r="C983" s="4"/>
      <c r="D983" s="4"/>
      <c r="E983" s="4"/>
      <c r="F983" s="4"/>
    </row>
    <row r="984" spans="1:6" ht="15.75" customHeight="1" x14ac:dyDescent="0.3">
      <c r="A984" s="4"/>
      <c r="B984" s="4"/>
      <c r="C984" s="4"/>
      <c r="D984" s="4"/>
      <c r="E984" s="4"/>
      <c r="F984" s="4"/>
    </row>
    <row r="985" spans="1:6" ht="15.75" customHeight="1" x14ac:dyDescent="0.3">
      <c r="A985" s="4"/>
      <c r="B985" s="4"/>
      <c r="C985" s="4"/>
      <c r="D985" s="4"/>
      <c r="E985" s="4"/>
      <c r="F985" s="4"/>
    </row>
    <row r="986" spans="1:6" ht="15.75" customHeight="1" x14ac:dyDescent="0.3">
      <c r="A986" s="4"/>
      <c r="B986" s="4"/>
      <c r="C986" s="4"/>
      <c r="D986" s="4"/>
      <c r="E986" s="4"/>
      <c r="F986" s="4"/>
    </row>
    <row r="987" spans="1:6" ht="15.75" customHeight="1" x14ac:dyDescent="0.3">
      <c r="A987" s="4"/>
      <c r="B987" s="4"/>
      <c r="C987" s="4"/>
      <c r="D987" s="4"/>
      <c r="E987" s="4"/>
      <c r="F987" s="4"/>
    </row>
    <row r="988" spans="1:6" ht="15.75" customHeight="1" x14ac:dyDescent="0.3">
      <c r="A988" s="4"/>
      <c r="B988" s="4"/>
      <c r="C988" s="4"/>
      <c r="D988" s="4"/>
      <c r="E988" s="4"/>
      <c r="F988" s="4"/>
    </row>
    <row r="989" spans="1:6" ht="15.75" customHeight="1" x14ac:dyDescent="0.3">
      <c r="A989" s="4"/>
      <c r="B989" s="4"/>
      <c r="C989" s="4"/>
      <c r="D989" s="4"/>
      <c r="E989" s="4"/>
      <c r="F989" s="4"/>
    </row>
    <row r="990" spans="1:6" ht="15.75" customHeight="1" x14ac:dyDescent="0.3">
      <c r="A990" s="4"/>
      <c r="B990" s="4"/>
      <c r="C990" s="4"/>
      <c r="D990" s="4"/>
      <c r="E990" s="4"/>
      <c r="F990" s="4"/>
    </row>
    <row r="991" spans="1:6" ht="15.75" customHeight="1" x14ac:dyDescent="0.3">
      <c r="A991" s="4"/>
      <c r="B991" s="4"/>
      <c r="C991" s="4"/>
      <c r="D991" s="4"/>
      <c r="E991" s="4"/>
      <c r="F991" s="4"/>
    </row>
    <row r="992" spans="1:6" ht="15.75" customHeight="1" x14ac:dyDescent="0.3">
      <c r="A992" s="4"/>
      <c r="B992" s="4"/>
      <c r="C992" s="4"/>
      <c r="D992" s="4"/>
      <c r="E992" s="4"/>
      <c r="F992" s="4"/>
    </row>
    <row r="993" spans="1:6" ht="15.75" customHeight="1" x14ac:dyDescent="0.3">
      <c r="A993" s="4"/>
      <c r="B993" s="4"/>
      <c r="C993" s="4"/>
      <c r="D993" s="4"/>
      <c r="E993" s="4"/>
      <c r="F993" s="4"/>
    </row>
    <row r="994" spans="1:6" ht="15.75" customHeight="1" x14ac:dyDescent="0.3">
      <c r="A994" s="4"/>
      <c r="B994" s="4"/>
      <c r="C994" s="4"/>
      <c r="D994" s="4"/>
      <c r="E994" s="4"/>
      <c r="F994" s="4"/>
    </row>
    <row r="995" spans="1:6" ht="15.75" customHeight="1" x14ac:dyDescent="0.3">
      <c r="A995" s="4"/>
      <c r="B995" s="4"/>
      <c r="C995" s="4"/>
      <c r="D995" s="4"/>
      <c r="E995" s="4"/>
      <c r="F995" s="4"/>
    </row>
    <row r="996" spans="1:6" ht="15.75" customHeight="1" x14ac:dyDescent="0.3">
      <c r="A996" s="4"/>
      <c r="B996" s="4"/>
      <c r="C996" s="4"/>
      <c r="D996" s="4"/>
      <c r="E996" s="4"/>
      <c r="F996" s="4"/>
    </row>
    <row r="997" spans="1:6" ht="15.75" customHeight="1" x14ac:dyDescent="0.3">
      <c r="A997" s="4"/>
      <c r="B997" s="4"/>
      <c r="C997" s="4"/>
      <c r="D997" s="4"/>
      <c r="E997" s="4"/>
      <c r="F997" s="4"/>
    </row>
    <row r="998" spans="1:6" ht="15.75" customHeight="1" x14ac:dyDescent="0.3">
      <c r="A998" s="4"/>
      <c r="B998" s="4"/>
      <c r="C998" s="4"/>
      <c r="D998" s="4"/>
      <c r="E998" s="4"/>
      <c r="F998" s="4"/>
    </row>
    <row r="999" spans="1:6" ht="15.75" customHeight="1" x14ac:dyDescent="0.3">
      <c r="A999" s="4"/>
      <c r="B999" s="4"/>
      <c r="C999" s="4"/>
      <c r="D999" s="4"/>
      <c r="E999" s="4"/>
      <c r="F999" s="4"/>
    </row>
    <row r="1000" spans="1:6" ht="15.75" customHeight="1" x14ac:dyDescent="0.3">
      <c r="A1000" s="4"/>
      <c r="B1000" s="4"/>
      <c r="C1000" s="4"/>
      <c r="D1000" s="4"/>
      <c r="E1000" s="4"/>
      <c r="F1000" s="4"/>
    </row>
  </sheetData>
  <autoFilter ref="A4:F332" xr:uid="{00000000-0009-0000-0000-000008000000}"/>
  <mergeCells count="2">
    <mergeCell ref="A2:F2"/>
    <mergeCell ref="A1:F1"/>
  </mergeCells>
  <phoneticPr fontId="14"/>
  <conditionalFormatting sqref="A5:F332">
    <cfRule type="expression" dxfId="3" priority="1">
      <formula>$F5=0</formula>
    </cfRule>
    <cfRule type="expression" dxfId="2" priority="2">
      <formula>$F5=1</formula>
    </cfRule>
    <cfRule type="expression" dxfId="1" priority="3">
      <formula>$F5&gt;=2</formula>
    </cfRule>
  </conditionalFormatting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3"/>
  <cols>
    <col min="1" max="1" width="6" customWidth="1"/>
    <col min="2" max="2" width="38" customWidth="1"/>
    <col min="3" max="3" width="10" customWidth="1"/>
    <col min="4" max="5" width="12" customWidth="1"/>
    <col min="6" max="6" width="14" customWidth="1"/>
    <col min="7" max="26" width="8.6640625" customWidth="1"/>
  </cols>
  <sheetData>
    <row r="1" spans="1:6" ht="17.25" customHeight="1" x14ac:dyDescent="0.5">
      <c r="A1" s="64" t="s">
        <v>2070</v>
      </c>
      <c r="B1" s="60"/>
      <c r="C1" s="60"/>
      <c r="D1" s="60"/>
      <c r="E1" s="60"/>
      <c r="F1" s="60"/>
    </row>
    <row r="2" spans="1:6" ht="13.5" customHeight="1" x14ac:dyDescent="0.3">
      <c r="A2" s="65" t="s">
        <v>2071</v>
      </c>
      <c r="B2" s="60"/>
      <c r="C2" s="60"/>
      <c r="D2" s="60"/>
      <c r="E2" s="60"/>
      <c r="F2" s="60"/>
    </row>
    <row r="3" spans="1:6" ht="14.4" x14ac:dyDescent="0.3">
      <c r="A3" s="4"/>
      <c r="B3" s="4"/>
      <c r="C3" s="4"/>
      <c r="D3" s="4"/>
      <c r="E3" s="4"/>
      <c r="F3" s="4"/>
    </row>
    <row r="4" spans="1:6" ht="15" customHeight="1" x14ac:dyDescent="0.3">
      <c r="A4" s="32" t="s">
        <v>1083</v>
      </c>
      <c r="B4" s="32" t="s">
        <v>2072</v>
      </c>
      <c r="C4" s="32" t="s">
        <v>2073</v>
      </c>
      <c r="D4" s="32" t="s">
        <v>2074</v>
      </c>
      <c r="E4" s="32" t="s">
        <v>2075</v>
      </c>
      <c r="F4" s="32" t="s">
        <v>2076</v>
      </c>
    </row>
    <row r="5" spans="1:6" ht="15" customHeight="1" x14ac:dyDescent="0.3">
      <c r="A5" s="55" t="s">
        <v>49</v>
      </c>
      <c r="B5" s="56" t="s">
        <v>2077</v>
      </c>
      <c r="C5" s="55">
        <f>COUNTIF(RTM_要件カバレッジ!B5:B332,A5)</f>
        <v>14</v>
      </c>
      <c r="D5" s="55">
        <f>SUMPRODUCT((RTM_要件カバレッジ!B5:B332=A5)*(RTM_要件カバレッジ!F5:F332&gt;=1))</f>
        <v>14</v>
      </c>
      <c r="E5" s="55">
        <f t="shared" ref="E5:E42" si="0">C5-D5</f>
        <v>0</v>
      </c>
      <c r="F5" s="57">
        <f t="shared" ref="F5:F43" si="1">IFERROR(D5/C5,0)</f>
        <v>1</v>
      </c>
    </row>
    <row r="6" spans="1:6" ht="15" customHeight="1" x14ac:dyDescent="0.3">
      <c r="A6" s="55" t="s">
        <v>51</v>
      </c>
      <c r="B6" s="56" t="s">
        <v>2078</v>
      </c>
      <c r="C6" s="55">
        <f>COUNTIF(RTM_要件カバレッジ!B5:B332,A6)</f>
        <v>5</v>
      </c>
      <c r="D6" s="55">
        <f>SUMPRODUCT((RTM_要件カバレッジ!B5:B332=A6)*(RTM_要件カバレッジ!F5:F332&gt;=1))</f>
        <v>4</v>
      </c>
      <c r="E6" s="55">
        <f t="shared" si="0"/>
        <v>1</v>
      </c>
      <c r="F6" s="57">
        <f t="shared" si="1"/>
        <v>0.8</v>
      </c>
    </row>
    <row r="7" spans="1:6" ht="15" customHeight="1" x14ac:dyDescent="0.3">
      <c r="A7" s="55" t="s">
        <v>53</v>
      </c>
      <c r="B7" s="58" t="s">
        <v>2079</v>
      </c>
      <c r="C7" s="55">
        <f>COUNTIF(RTM_要件カバレッジ!B5:B332,A7)</f>
        <v>5</v>
      </c>
      <c r="D7" s="55">
        <f>SUMPRODUCT((RTM_要件カバレッジ!B5:B332=A7)*(RTM_要件カバレッジ!F5:F332&gt;=1))</f>
        <v>5</v>
      </c>
      <c r="E7" s="55">
        <f t="shared" si="0"/>
        <v>0</v>
      </c>
      <c r="F7" s="57">
        <f t="shared" si="1"/>
        <v>1</v>
      </c>
    </row>
    <row r="8" spans="1:6" ht="15" customHeight="1" x14ac:dyDescent="0.3">
      <c r="A8" s="55" t="s">
        <v>55</v>
      </c>
      <c r="B8" s="56" t="s">
        <v>2080</v>
      </c>
      <c r="C8" s="55">
        <f>COUNTIF(RTM_要件カバレッジ!B5:B332,A8)</f>
        <v>11</v>
      </c>
      <c r="D8" s="55">
        <f>SUMPRODUCT((RTM_要件カバレッジ!B5:B332=A8)*(RTM_要件カバレッジ!F5:F332&gt;=1))</f>
        <v>11</v>
      </c>
      <c r="E8" s="55">
        <f t="shared" si="0"/>
        <v>0</v>
      </c>
      <c r="F8" s="57">
        <f t="shared" si="1"/>
        <v>1</v>
      </c>
    </row>
    <row r="9" spans="1:6" ht="15" customHeight="1" x14ac:dyDescent="0.3">
      <c r="A9" s="55" t="s">
        <v>458</v>
      </c>
      <c r="B9" s="56" t="s">
        <v>2081</v>
      </c>
      <c r="C9" s="55">
        <f>COUNTIF(RTM_要件カバレッジ!B5:B332,A9)</f>
        <v>14</v>
      </c>
      <c r="D9" s="55">
        <f>SUMPRODUCT((RTM_要件カバレッジ!B5:B332=A9)*(RTM_要件カバレッジ!F5:F332&gt;=1))</f>
        <v>14</v>
      </c>
      <c r="E9" s="55">
        <f t="shared" si="0"/>
        <v>0</v>
      </c>
      <c r="F9" s="57">
        <f t="shared" si="1"/>
        <v>1</v>
      </c>
    </row>
    <row r="10" spans="1:6" ht="15" customHeight="1" x14ac:dyDescent="0.3">
      <c r="A10" s="55" t="s">
        <v>427</v>
      </c>
      <c r="B10" s="58" t="s">
        <v>2082</v>
      </c>
      <c r="C10" s="55">
        <f>COUNTIF(RTM_要件カバレッジ!B5:B332,A10)</f>
        <v>10</v>
      </c>
      <c r="D10" s="55">
        <f>SUMPRODUCT((RTM_要件カバレッジ!B5:B332=A10)*(RTM_要件カバレッジ!F5:F332&gt;=1))</f>
        <v>10</v>
      </c>
      <c r="E10" s="55">
        <f t="shared" si="0"/>
        <v>0</v>
      </c>
      <c r="F10" s="57">
        <f t="shared" si="1"/>
        <v>1</v>
      </c>
    </row>
    <row r="11" spans="1:6" ht="15" customHeight="1" x14ac:dyDescent="0.3">
      <c r="A11" s="55" t="s">
        <v>1251</v>
      </c>
      <c r="B11" s="56" t="s">
        <v>2083</v>
      </c>
      <c r="C11" s="55">
        <f>COUNTIF(RTM_要件カバレッジ!B5:B332,A11)</f>
        <v>4</v>
      </c>
      <c r="D11" s="55">
        <f>SUMPRODUCT((RTM_要件カバレッジ!B5:B332=A11)*(RTM_要件カバレッジ!F5:F332&gt;=1))</f>
        <v>4</v>
      </c>
      <c r="E11" s="55">
        <f t="shared" si="0"/>
        <v>0</v>
      </c>
      <c r="F11" s="57">
        <f t="shared" si="1"/>
        <v>1</v>
      </c>
    </row>
    <row r="12" spans="1:6" ht="15" customHeight="1" x14ac:dyDescent="0.3">
      <c r="A12" s="55" t="s">
        <v>1264</v>
      </c>
      <c r="B12" s="56" t="s">
        <v>2084</v>
      </c>
      <c r="C12" s="55">
        <f>COUNTIF(RTM_要件カバレッジ!B5:B332,A12)</f>
        <v>15</v>
      </c>
      <c r="D12" s="55">
        <f>SUMPRODUCT((RTM_要件カバレッジ!B5:B332=A12)*(RTM_要件カバレッジ!F5:F332&gt;=1))</f>
        <v>15</v>
      </c>
      <c r="E12" s="55">
        <f t="shared" si="0"/>
        <v>0</v>
      </c>
      <c r="F12" s="57">
        <f t="shared" si="1"/>
        <v>1</v>
      </c>
    </row>
    <row r="13" spans="1:6" ht="15" customHeight="1" x14ac:dyDescent="0.3">
      <c r="A13" s="55" t="s">
        <v>1318</v>
      </c>
      <c r="B13" s="56" t="s">
        <v>2085</v>
      </c>
      <c r="C13" s="55">
        <f>COUNTIF(RTM_要件カバレッジ!B5:B332,A13)</f>
        <v>5</v>
      </c>
      <c r="D13" s="55">
        <f>SUMPRODUCT((RTM_要件カバレッジ!B5:B332=A13)*(RTM_要件カバレッジ!F5:F332&gt;=1))</f>
        <v>5</v>
      </c>
      <c r="E13" s="55">
        <f t="shared" si="0"/>
        <v>0</v>
      </c>
      <c r="F13" s="57">
        <f t="shared" si="1"/>
        <v>1</v>
      </c>
    </row>
    <row r="14" spans="1:6" ht="15" customHeight="1" x14ac:dyDescent="0.3">
      <c r="A14" s="55" t="s">
        <v>1333</v>
      </c>
      <c r="B14" s="58" t="s">
        <v>2086</v>
      </c>
      <c r="C14" s="55">
        <f>COUNTIF(RTM_要件カバレッジ!B5:B332,A14)</f>
        <v>7</v>
      </c>
      <c r="D14" s="55">
        <f>SUMPRODUCT((RTM_要件カバレッジ!B5:B332=A14)*(RTM_要件カバレッジ!F5:F332&gt;=1))</f>
        <v>7</v>
      </c>
      <c r="E14" s="55">
        <f t="shared" si="0"/>
        <v>0</v>
      </c>
      <c r="F14" s="57">
        <f t="shared" si="1"/>
        <v>1</v>
      </c>
    </row>
    <row r="15" spans="1:6" ht="15" customHeight="1" x14ac:dyDescent="0.3">
      <c r="A15" s="55" t="s">
        <v>741</v>
      </c>
      <c r="B15" s="56" t="s">
        <v>2087</v>
      </c>
      <c r="C15" s="55">
        <f>COUNTIF(RTM_要件カバレッジ!B5:B332,A15)</f>
        <v>19</v>
      </c>
      <c r="D15" s="55">
        <f>SUMPRODUCT((RTM_要件カバレッジ!B5:B332=A15)*(RTM_要件カバレッジ!F5:F332&gt;=1))</f>
        <v>19</v>
      </c>
      <c r="E15" s="55">
        <f t="shared" si="0"/>
        <v>0</v>
      </c>
      <c r="F15" s="57">
        <f t="shared" si="1"/>
        <v>1</v>
      </c>
    </row>
    <row r="16" spans="1:6" ht="15" customHeight="1" x14ac:dyDescent="0.3">
      <c r="A16" s="55" t="s">
        <v>562</v>
      </c>
      <c r="B16" s="58" t="s">
        <v>2088</v>
      </c>
      <c r="C16" s="55">
        <f>COUNTIF(RTM_要件カバレッジ!B5:B332,A16)</f>
        <v>19</v>
      </c>
      <c r="D16" s="55">
        <f>SUMPRODUCT((RTM_要件カバレッジ!B5:B332=A16)*(RTM_要件カバレッジ!F5:F332&gt;=1))</f>
        <v>19</v>
      </c>
      <c r="E16" s="55">
        <f t="shared" si="0"/>
        <v>0</v>
      </c>
      <c r="F16" s="57">
        <f t="shared" si="1"/>
        <v>1</v>
      </c>
    </row>
    <row r="17" spans="1:6" ht="15" customHeight="1" x14ac:dyDescent="0.3">
      <c r="A17" s="55" t="s">
        <v>146</v>
      </c>
      <c r="B17" s="56" t="s">
        <v>2089</v>
      </c>
      <c r="C17" s="55">
        <f>COUNTIF(RTM_要件カバレッジ!B5:B332,A17)</f>
        <v>6</v>
      </c>
      <c r="D17" s="55">
        <f>SUMPRODUCT((RTM_要件カバレッジ!B5:B332=A17)*(RTM_要件カバレッジ!F5:F332&gt;=1))</f>
        <v>6</v>
      </c>
      <c r="E17" s="55">
        <f t="shared" si="0"/>
        <v>0</v>
      </c>
      <c r="F17" s="57">
        <f t="shared" si="1"/>
        <v>1</v>
      </c>
    </row>
    <row r="18" spans="1:6" ht="15" customHeight="1" x14ac:dyDescent="0.3">
      <c r="A18" s="55" t="s">
        <v>161</v>
      </c>
      <c r="B18" s="58" t="s">
        <v>2090</v>
      </c>
      <c r="C18" s="55">
        <f>COUNTIF(RTM_要件カバレッジ!B5:B332,A18)</f>
        <v>6</v>
      </c>
      <c r="D18" s="55">
        <f>SUMPRODUCT((RTM_要件カバレッジ!B5:B332=A18)*(RTM_要件カバレッジ!F5:F332&gt;=1))</f>
        <v>6</v>
      </c>
      <c r="E18" s="55">
        <f t="shared" si="0"/>
        <v>0</v>
      </c>
      <c r="F18" s="57">
        <f t="shared" si="1"/>
        <v>1</v>
      </c>
    </row>
    <row r="19" spans="1:6" ht="15" customHeight="1" x14ac:dyDescent="0.3">
      <c r="A19" s="55" t="s">
        <v>114</v>
      </c>
      <c r="B19" s="58" t="s">
        <v>2091</v>
      </c>
      <c r="C19" s="55">
        <f>COUNTIF(RTM_要件カバレッジ!B5:B332,A19)</f>
        <v>10</v>
      </c>
      <c r="D19" s="55">
        <f>SUMPRODUCT((RTM_要件カバレッジ!B5:B332=A19)*(RTM_要件カバレッジ!F5:F332&gt;=1))</f>
        <v>10</v>
      </c>
      <c r="E19" s="55">
        <f t="shared" si="0"/>
        <v>0</v>
      </c>
      <c r="F19" s="57">
        <f t="shared" si="1"/>
        <v>1</v>
      </c>
    </row>
    <row r="20" spans="1:6" ht="15" customHeight="1" x14ac:dyDescent="0.3">
      <c r="A20" s="55" t="s">
        <v>479</v>
      </c>
      <c r="B20" s="56" t="s">
        <v>2092</v>
      </c>
      <c r="C20" s="55">
        <f>COUNTIF(RTM_要件カバレッジ!B5:B332,A20)</f>
        <v>11</v>
      </c>
      <c r="D20" s="55">
        <f>SUMPRODUCT((RTM_要件カバレッジ!B5:B332=A20)*(RTM_要件カバレッジ!F5:F332&gt;=1))</f>
        <v>11</v>
      </c>
      <c r="E20" s="55">
        <f t="shared" si="0"/>
        <v>0</v>
      </c>
      <c r="F20" s="57">
        <f t="shared" si="1"/>
        <v>1</v>
      </c>
    </row>
    <row r="21" spans="1:6" ht="15" customHeight="1" x14ac:dyDescent="0.3">
      <c r="A21" s="55" t="s">
        <v>1546</v>
      </c>
      <c r="B21" s="56" t="s">
        <v>2093</v>
      </c>
      <c r="C21" s="55">
        <f>COUNTIF(RTM_要件カバレッジ!B5:B332,A21)</f>
        <v>8</v>
      </c>
      <c r="D21" s="55">
        <f>SUMPRODUCT((RTM_要件カバレッジ!B5:B332=A21)*(RTM_要件カバレッジ!F5:F332&gt;=1))</f>
        <v>8</v>
      </c>
      <c r="E21" s="55">
        <f t="shared" si="0"/>
        <v>0</v>
      </c>
      <c r="F21" s="57">
        <f t="shared" si="1"/>
        <v>1</v>
      </c>
    </row>
    <row r="22" spans="1:6" ht="15" customHeight="1" x14ac:dyDescent="0.3">
      <c r="A22" s="55" t="s">
        <v>353</v>
      </c>
      <c r="B22" s="58" t="s">
        <v>2094</v>
      </c>
      <c r="C22" s="55">
        <f>COUNTIF(RTM_要件カバレッジ!B5:B332,A22)</f>
        <v>10</v>
      </c>
      <c r="D22" s="55">
        <f>SUMPRODUCT((RTM_要件カバレッジ!B5:B332=A22)*(RTM_要件カバレッジ!F5:F332&gt;=1))</f>
        <v>10</v>
      </c>
      <c r="E22" s="55">
        <f t="shared" si="0"/>
        <v>0</v>
      </c>
      <c r="F22" s="57">
        <f t="shared" si="1"/>
        <v>1</v>
      </c>
    </row>
    <row r="23" spans="1:6" ht="15" customHeight="1" x14ac:dyDescent="0.3">
      <c r="A23" s="55" t="s">
        <v>1601</v>
      </c>
      <c r="B23" s="58" t="s">
        <v>2095</v>
      </c>
      <c r="C23" s="55">
        <f>COUNTIF(RTM_要件カバレッジ!B5:B332,A23)</f>
        <v>6</v>
      </c>
      <c r="D23" s="55">
        <f>SUMPRODUCT((RTM_要件カバレッジ!B5:B332=A23)*(RTM_要件カバレッジ!F5:F332&gt;=1))</f>
        <v>6</v>
      </c>
      <c r="E23" s="55">
        <f t="shared" si="0"/>
        <v>0</v>
      </c>
      <c r="F23" s="57">
        <f t="shared" si="1"/>
        <v>1</v>
      </c>
    </row>
    <row r="24" spans="1:6" ht="15" customHeight="1" x14ac:dyDescent="0.3">
      <c r="A24" s="55" t="s">
        <v>294</v>
      </c>
      <c r="B24" s="58" t="s">
        <v>2096</v>
      </c>
      <c r="C24" s="55">
        <f>COUNTIF(RTM_要件カバレッジ!B5:B332,A24)</f>
        <v>14</v>
      </c>
      <c r="D24" s="55">
        <f>SUMPRODUCT((RTM_要件カバレッジ!B5:B332=A24)*(RTM_要件カバレッジ!F5:F332&gt;=1))</f>
        <v>14</v>
      </c>
      <c r="E24" s="55">
        <f t="shared" si="0"/>
        <v>0</v>
      </c>
      <c r="F24" s="57">
        <f t="shared" si="1"/>
        <v>1</v>
      </c>
    </row>
    <row r="25" spans="1:6" ht="15" customHeight="1" x14ac:dyDescent="0.3">
      <c r="A25" s="55" t="s">
        <v>641</v>
      </c>
      <c r="B25" s="56" t="s">
        <v>2097</v>
      </c>
      <c r="C25" s="55">
        <f>COUNTIF(RTM_要件カバレッジ!B5:B332,A25)</f>
        <v>10</v>
      </c>
      <c r="D25" s="55">
        <f>SUMPRODUCT((RTM_要件カバレッジ!B5:B332=A25)*(RTM_要件カバレッジ!F5:F332&gt;=1))</f>
        <v>10</v>
      </c>
      <c r="E25" s="55">
        <f t="shared" si="0"/>
        <v>0</v>
      </c>
      <c r="F25" s="57">
        <f t="shared" si="1"/>
        <v>1</v>
      </c>
    </row>
    <row r="26" spans="1:6" ht="15" customHeight="1" x14ac:dyDescent="0.3">
      <c r="A26" s="55" t="s">
        <v>153</v>
      </c>
      <c r="B26" s="58" t="s">
        <v>2098</v>
      </c>
      <c r="C26" s="55">
        <f>COUNTIF(RTM_要件カバレッジ!B5:B332,A26)</f>
        <v>6</v>
      </c>
      <c r="D26" s="55">
        <f>SUMPRODUCT((RTM_要件カバレッジ!B5:B332=A26)*(RTM_要件カバレッジ!F5:F332&gt;=1))</f>
        <v>6</v>
      </c>
      <c r="E26" s="55">
        <f t="shared" si="0"/>
        <v>0</v>
      </c>
      <c r="F26" s="57">
        <f t="shared" si="1"/>
        <v>1</v>
      </c>
    </row>
    <row r="27" spans="1:6" ht="15" customHeight="1" x14ac:dyDescent="0.3">
      <c r="A27" s="55" t="s">
        <v>1714</v>
      </c>
      <c r="B27" s="56" t="s">
        <v>2099</v>
      </c>
      <c r="C27" s="55">
        <f>COUNTIF(RTM_要件カバレッジ!B5:B332,A27)</f>
        <v>8</v>
      </c>
      <c r="D27" s="55">
        <f>SUMPRODUCT((RTM_要件カバレッジ!B5:B332=A27)*(RTM_要件カバレッジ!F5:F332&gt;=1))</f>
        <v>8</v>
      </c>
      <c r="E27" s="55">
        <f t="shared" si="0"/>
        <v>0</v>
      </c>
      <c r="F27" s="57">
        <f t="shared" si="1"/>
        <v>1</v>
      </c>
    </row>
    <row r="28" spans="1:6" ht="15" customHeight="1" x14ac:dyDescent="0.3">
      <c r="A28" s="55" t="s">
        <v>329</v>
      </c>
      <c r="B28" s="56" t="s">
        <v>2100</v>
      </c>
      <c r="C28" s="55">
        <f>COUNTIF(RTM_要件カバレッジ!B5:B332,A28)</f>
        <v>7</v>
      </c>
      <c r="D28" s="55">
        <f>SUMPRODUCT((RTM_要件カバレッジ!B5:B332=A28)*(RTM_要件カバレッジ!F5:F332&gt;=1))</f>
        <v>7</v>
      </c>
      <c r="E28" s="55">
        <f t="shared" si="0"/>
        <v>0</v>
      </c>
      <c r="F28" s="57">
        <f t="shared" si="1"/>
        <v>1</v>
      </c>
    </row>
    <row r="29" spans="1:6" ht="15" customHeight="1" x14ac:dyDescent="0.3">
      <c r="A29" s="55" t="s">
        <v>1761</v>
      </c>
      <c r="B29" s="58" t="s">
        <v>2101</v>
      </c>
      <c r="C29" s="55">
        <f>COUNTIF(RTM_要件カバレッジ!B5:B332,A29)</f>
        <v>9</v>
      </c>
      <c r="D29" s="55">
        <f>SUMPRODUCT((RTM_要件カバレッジ!B5:B332=A29)*(RTM_要件カバレッジ!F5:F332&gt;=1))</f>
        <v>9</v>
      </c>
      <c r="E29" s="55">
        <f t="shared" si="0"/>
        <v>0</v>
      </c>
      <c r="F29" s="57">
        <f t="shared" si="1"/>
        <v>1</v>
      </c>
    </row>
    <row r="30" spans="1:6" ht="15" customHeight="1" x14ac:dyDescent="0.3">
      <c r="A30" s="55" t="s">
        <v>495</v>
      </c>
      <c r="B30" s="56" t="s">
        <v>2102</v>
      </c>
      <c r="C30" s="55">
        <f>COUNTIF(RTM_要件カバレッジ!B5:B332,A30)</f>
        <v>7</v>
      </c>
      <c r="D30" s="55">
        <f>SUMPRODUCT((RTM_要件カバレッジ!B5:B332=A30)*(RTM_要件カバレッジ!F5:F332&gt;=1))</f>
        <v>7</v>
      </c>
      <c r="E30" s="55">
        <f t="shared" si="0"/>
        <v>0</v>
      </c>
      <c r="F30" s="57">
        <f t="shared" si="1"/>
        <v>1</v>
      </c>
    </row>
    <row r="31" spans="1:6" ht="15" customHeight="1" x14ac:dyDescent="0.3">
      <c r="A31" s="55" t="s">
        <v>723</v>
      </c>
      <c r="B31" s="56" t="s">
        <v>2103</v>
      </c>
      <c r="C31" s="55">
        <f>COUNTIF(RTM_要件カバレッジ!B5:B332,A31)</f>
        <v>9</v>
      </c>
      <c r="D31" s="55">
        <f>SUMPRODUCT((RTM_要件カバレッジ!B5:B332=A31)*(RTM_要件カバレッジ!F5:F332&gt;=1))</f>
        <v>9</v>
      </c>
      <c r="E31" s="55">
        <f t="shared" si="0"/>
        <v>0</v>
      </c>
      <c r="F31" s="57">
        <f t="shared" si="1"/>
        <v>1</v>
      </c>
    </row>
    <row r="32" spans="1:6" ht="15" customHeight="1" x14ac:dyDescent="0.3">
      <c r="A32" s="55" t="s">
        <v>244</v>
      </c>
      <c r="B32" s="56" t="s">
        <v>2104</v>
      </c>
      <c r="C32" s="55">
        <f>COUNTIF(RTM_要件カバレッジ!B5:B332,A32)</f>
        <v>11</v>
      </c>
      <c r="D32" s="55">
        <f>SUMPRODUCT((RTM_要件カバレッジ!B5:B332=A32)*(RTM_要件カバレッジ!F5:F332&gt;=1))</f>
        <v>11</v>
      </c>
      <c r="E32" s="55">
        <f t="shared" si="0"/>
        <v>0</v>
      </c>
      <c r="F32" s="57">
        <f t="shared" si="1"/>
        <v>1</v>
      </c>
    </row>
    <row r="33" spans="1:6" ht="15" customHeight="1" x14ac:dyDescent="0.3">
      <c r="A33" s="55" t="s">
        <v>1874</v>
      </c>
      <c r="B33" s="56" t="s">
        <v>2105</v>
      </c>
      <c r="C33" s="55">
        <f>COUNTIF(RTM_要件カバレッジ!B5:B332,A33)</f>
        <v>2</v>
      </c>
      <c r="D33" s="55">
        <f>SUMPRODUCT((RTM_要件カバレッジ!B5:B332=A33)*(RTM_要件カバレッジ!F5:F332&gt;=1))</f>
        <v>2</v>
      </c>
      <c r="E33" s="55">
        <f t="shared" si="0"/>
        <v>0</v>
      </c>
      <c r="F33" s="57">
        <f t="shared" si="1"/>
        <v>1</v>
      </c>
    </row>
    <row r="34" spans="1:6" ht="15" customHeight="1" x14ac:dyDescent="0.3">
      <c r="A34" s="55" t="s">
        <v>1882</v>
      </c>
      <c r="B34" s="58" t="s">
        <v>2106</v>
      </c>
      <c r="C34" s="55">
        <f>COUNTIF(RTM_要件カバレッジ!B5:B332,A34)</f>
        <v>6</v>
      </c>
      <c r="D34" s="55">
        <f>SUMPRODUCT((RTM_要件カバレッジ!B5:B332=A34)*(RTM_要件カバレッジ!F5:F332&gt;=1))</f>
        <v>6</v>
      </c>
      <c r="E34" s="55">
        <f t="shared" si="0"/>
        <v>0</v>
      </c>
      <c r="F34" s="57">
        <f t="shared" si="1"/>
        <v>1</v>
      </c>
    </row>
    <row r="35" spans="1:6" ht="15" customHeight="1" x14ac:dyDescent="0.3">
      <c r="A35" s="55" t="s">
        <v>412</v>
      </c>
      <c r="B35" s="56" t="s">
        <v>2107</v>
      </c>
      <c r="C35" s="55">
        <f>COUNTIF(RTM_要件カバレッジ!B5:B332,A35)</f>
        <v>3</v>
      </c>
      <c r="D35" s="55">
        <f>SUMPRODUCT((RTM_要件カバレッジ!B5:B332=A35)*(RTM_要件カバレッジ!F5:F332&gt;=1))</f>
        <v>3</v>
      </c>
      <c r="E35" s="55">
        <f t="shared" si="0"/>
        <v>0</v>
      </c>
      <c r="F35" s="57">
        <f t="shared" si="1"/>
        <v>1</v>
      </c>
    </row>
    <row r="36" spans="1:6" ht="15" customHeight="1" x14ac:dyDescent="0.3">
      <c r="A36" s="55" t="s">
        <v>522</v>
      </c>
      <c r="B36" s="56" t="s">
        <v>2108</v>
      </c>
      <c r="C36" s="55">
        <f>COUNTIF(RTM_要件カバレッジ!B5:B332,A36)</f>
        <v>4</v>
      </c>
      <c r="D36" s="55">
        <f>SUMPRODUCT((RTM_要件カバレッジ!B5:B332=A36)*(RTM_要件カバレッジ!F5:F332&gt;=1))</f>
        <v>4</v>
      </c>
      <c r="E36" s="55">
        <f t="shared" si="0"/>
        <v>0</v>
      </c>
      <c r="F36" s="57">
        <f t="shared" si="1"/>
        <v>1</v>
      </c>
    </row>
    <row r="37" spans="1:6" ht="15" customHeight="1" x14ac:dyDescent="0.3">
      <c r="A37" s="55" t="s">
        <v>773</v>
      </c>
      <c r="B37" s="56" t="s">
        <v>2109</v>
      </c>
      <c r="C37" s="55">
        <f>COUNTIF(RTM_要件カバレッジ!B5:B332,A37)</f>
        <v>6</v>
      </c>
      <c r="D37" s="55">
        <f>SUMPRODUCT((RTM_要件カバレッジ!B5:B332=A37)*(RTM_要件カバレッジ!F5:F332&gt;=1))</f>
        <v>6</v>
      </c>
      <c r="E37" s="55">
        <f t="shared" si="0"/>
        <v>0</v>
      </c>
      <c r="F37" s="57">
        <f t="shared" si="1"/>
        <v>1</v>
      </c>
    </row>
    <row r="38" spans="1:6" ht="15" customHeight="1" x14ac:dyDescent="0.3">
      <c r="A38" s="55" t="s">
        <v>1941</v>
      </c>
      <c r="B38" s="58" t="s">
        <v>2110</v>
      </c>
      <c r="C38" s="55">
        <f>COUNTIF(RTM_要件カバレッジ!B5:B332,A38)</f>
        <v>4</v>
      </c>
      <c r="D38" s="55">
        <f>SUMPRODUCT((RTM_要件カバレッジ!B5:B332=A38)*(RTM_要件カバレッジ!F5:F332&gt;=1))</f>
        <v>4</v>
      </c>
      <c r="E38" s="55">
        <f t="shared" si="0"/>
        <v>0</v>
      </c>
      <c r="F38" s="57">
        <f t="shared" si="1"/>
        <v>1</v>
      </c>
    </row>
    <row r="39" spans="1:6" ht="15" customHeight="1" x14ac:dyDescent="0.3">
      <c r="A39" s="55" t="s">
        <v>257</v>
      </c>
      <c r="B39" s="56" t="s">
        <v>2111</v>
      </c>
      <c r="C39" s="55">
        <f>COUNTIF(RTM_要件カバレッジ!B5:B332,A39)</f>
        <v>10</v>
      </c>
      <c r="D39" s="55">
        <f>SUMPRODUCT((RTM_要件カバレッジ!B5:B332=A39)*(RTM_要件カバレッジ!F5:F332&gt;=1))</f>
        <v>10</v>
      </c>
      <c r="E39" s="55">
        <f t="shared" si="0"/>
        <v>0</v>
      </c>
      <c r="F39" s="57">
        <f t="shared" si="1"/>
        <v>1</v>
      </c>
    </row>
    <row r="40" spans="1:6" ht="15" customHeight="1" x14ac:dyDescent="0.3">
      <c r="A40" s="55" t="s">
        <v>283</v>
      </c>
      <c r="B40" s="58" t="s">
        <v>2112</v>
      </c>
      <c r="C40" s="55">
        <f>COUNTIF(RTM_要件カバレッジ!B5:B332,A40)</f>
        <v>12</v>
      </c>
      <c r="D40" s="55">
        <f>SUMPRODUCT((RTM_要件カバレッジ!B5:B332=A40)*(RTM_要件カバレッジ!F5:F332&gt;=1))</f>
        <v>12</v>
      </c>
      <c r="E40" s="55">
        <f t="shared" si="0"/>
        <v>0</v>
      </c>
      <c r="F40" s="57">
        <f t="shared" si="1"/>
        <v>1</v>
      </c>
    </row>
    <row r="41" spans="1:6" ht="15" customHeight="1" x14ac:dyDescent="0.3">
      <c r="A41" s="55" t="s">
        <v>528</v>
      </c>
      <c r="B41" s="56" t="s">
        <v>2113</v>
      </c>
      <c r="C41" s="55">
        <f>COUNTIF(RTM_要件カバレッジ!B5:B332,A41)</f>
        <v>10</v>
      </c>
      <c r="D41" s="55">
        <f>SUMPRODUCT((RTM_要件カバレッジ!B5:B332=A41)*(RTM_要件カバレッジ!F5:F332&gt;=1))</f>
        <v>10</v>
      </c>
      <c r="E41" s="55">
        <f t="shared" si="0"/>
        <v>0</v>
      </c>
      <c r="F41" s="57">
        <f t="shared" si="1"/>
        <v>1</v>
      </c>
    </row>
    <row r="42" spans="1:6" ht="15" customHeight="1" x14ac:dyDescent="0.3">
      <c r="A42" s="55" t="s">
        <v>785</v>
      </c>
      <c r="B42" s="56" t="s">
        <v>2114</v>
      </c>
      <c r="C42" s="55">
        <f>COUNTIF(RTM_要件カバレッジ!B5:B332,A42)</f>
        <v>5</v>
      </c>
      <c r="D42" s="55">
        <f>SUMPRODUCT((RTM_要件カバレッジ!B5:B332=A42)*(RTM_要件カバレッジ!F5:F332&gt;=1))</f>
        <v>5</v>
      </c>
      <c r="E42" s="55">
        <f t="shared" si="0"/>
        <v>0</v>
      </c>
      <c r="F42" s="57">
        <f t="shared" si="1"/>
        <v>1</v>
      </c>
    </row>
    <row r="43" spans="1:6" ht="15" customHeight="1" x14ac:dyDescent="0.35">
      <c r="A43" s="45" t="s">
        <v>850</v>
      </c>
      <c r="B43" s="45" t="s">
        <v>2115</v>
      </c>
      <c r="C43" s="46">
        <f>SUM(C5:C42)</f>
        <v>328</v>
      </c>
      <c r="D43" s="46">
        <f>SUM(D5:D42)</f>
        <v>327</v>
      </c>
      <c r="E43" s="46">
        <f>SUM(E5:E42)</f>
        <v>1</v>
      </c>
      <c r="F43" s="47">
        <f t="shared" si="1"/>
        <v>0.99695121951219512</v>
      </c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  <row r="978" spans="1:6" ht="15.75" customHeight="1" x14ac:dyDescent="0.3">
      <c r="A978" s="4"/>
      <c r="B978" s="4"/>
      <c r="C978" s="4"/>
      <c r="D978" s="4"/>
      <c r="E978" s="4"/>
      <c r="F978" s="4"/>
    </row>
    <row r="979" spans="1:6" ht="15.75" customHeight="1" x14ac:dyDescent="0.3">
      <c r="A979" s="4"/>
      <c r="B979" s="4"/>
      <c r="C979" s="4"/>
      <c r="D979" s="4"/>
      <c r="E979" s="4"/>
      <c r="F979" s="4"/>
    </row>
    <row r="980" spans="1:6" ht="15.75" customHeight="1" x14ac:dyDescent="0.3">
      <c r="A980" s="4"/>
      <c r="B980" s="4"/>
      <c r="C980" s="4"/>
      <c r="D980" s="4"/>
      <c r="E980" s="4"/>
      <c r="F980" s="4"/>
    </row>
    <row r="981" spans="1:6" ht="15.75" customHeight="1" x14ac:dyDescent="0.3">
      <c r="A981" s="4"/>
      <c r="B981" s="4"/>
      <c r="C981" s="4"/>
      <c r="D981" s="4"/>
      <c r="E981" s="4"/>
      <c r="F981" s="4"/>
    </row>
    <row r="982" spans="1:6" ht="15.75" customHeight="1" x14ac:dyDescent="0.3">
      <c r="A982" s="4"/>
      <c r="B982" s="4"/>
      <c r="C982" s="4"/>
      <c r="D982" s="4"/>
      <c r="E982" s="4"/>
      <c r="F982" s="4"/>
    </row>
    <row r="983" spans="1:6" ht="15.75" customHeight="1" x14ac:dyDescent="0.3">
      <c r="A983" s="4"/>
      <c r="B983" s="4"/>
      <c r="C983" s="4"/>
      <c r="D983" s="4"/>
      <c r="E983" s="4"/>
      <c r="F983" s="4"/>
    </row>
    <row r="984" spans="1:6" ht="15.75" customHeight="1" x14ac:dyDescent="0.3">
      <c r="A984" s="4"/>
      <c r="B984" s="4"/>
      <c r="C984" s="4"/>
      <c r="D984" s="4"/>
      <c r="E984" s="4"/>
      <c r="F984" s="4"/>
    </row>
    <row r="985" spans="1:6" ht="15.75" customHeight="1" x14ac:dyDescent="0.3">
      <c r="A985" s="4"/>
      <c r="B985" s="4"/>
      <c r="C985" s="4"/>
      <c r="D985" s="4"/>
      <c r="E985" s="4"/>
      <c r="F985" s="4"/>
    </row>
    <row r="986" spans="1:6" ht="15.75" customHeight="1" x14ac:dyDescent="0.3">
      <c r="A986" s="4"/>
      <c r="B986" s="4"/>
      <c r="C986" s="4"/>
      <c r="D986" s="4"/>
      <c r="E986" s="4"/>
      <c r="F986" s="4"/>
    </row>
    <row r="987" spans="1:6" ht="15.75" customHeight="1" x14ac:dyDescent="0.3">
      <c r="A987" s="4"/>
      <c r="B987" s="4"/>
      <c r="C987" s="4"/>
      <c r="D987" s="4"/>
      <c r="E987" s="4"/>
      <c r="F987" s="4"/>
    </row>
    <row r="988" spans="1:6" ht="15.75" customHeight="1" x14ac:dyDescent="0.3">
      <c r="A988" s="4"/>
      <c r="B988" s="4"/>
      <c r="C988" s="4"/>
      <c r="D988" s="4"/>
      <c r="E988" s="4"/>
      <c r="F988" s="4"/>
    </row>
    <row r="989" spans="1:6" ht="15.75" customHeight="1" x14ac:dyDescent="0.3">
      <c r="A989" s="4"/>
      <c r="B989" s="4"/>
      <c r="C989" s="4"/>
      <c r="D989" s="4"/>
      <c r="E989" s="4"/>
      <c r="F989" s="4"/>
    </row>
    <row r="990" spans="1:6" ht="15.75" customHeight="1" x14ac:dyDescent="0.3">
      <c r="A990" s="4"/>
      <c r="B990" s="4"/>
      <c r="C990" s="4"/>
      <c r="D990" s="4"/>
      <c r="E990" s="4"/>
      <c r="F990" s="4"/>
    </row>
    <row r="991" spans="1:6" ht="15.75" customHeight="1" x14ac:dyDescent="0.3">
      <c r="A991" s="4"/>
      <c r="B991" s="4"/>
      <c r="C991" s="4"/>
      <c r="D991" s="4"/>
      <c r="E991" s="4"/>
      <c r="F991" s="4"/>
    </row>
    <row r="992" spans="1:6" ht="15.75" customHeight="1" x14ac:dyDescent="0.3">
      <c r="A992" s="4"/>
      <c r="B992" s="4"/>
      <c r="C992" s="4"/>
      <c r="D992" s="4"/>
      <c r="E992" s="4"/>
      <c r="F992" s="4"/>
    </row>
    <row r="993" spans="1:6" ht="15.75" customHeight="1" x14ac:dyDescent="0.3">
      <c r="A993" s="4"/>
      <c r="B993" s="4"/>
      <c r="C993" s="4"/>
      <c r="D993" s="4"/>
      <c r="E993" s="4"/>
      <c r="F993" s="4"/>
    </row>
    <row r="994" spans="1:6" ht="15.75" customHeight="1" x14ac:dyDescent="0.3">
      <c r="A994" s="4"/>
      <c r="B994" s="4"/>
      <c r="C994" s="4"/>
      <c r="D994" s="4"/>
      <c r="E994" s="4"/>
      <c r="F994" s="4"/>
    </row>
    <row r="995" spans="1:6" ht="15.75" customHeight="1" x14ac:dyDescent="0.3">
      <c r="A995" s="4"/>
      <c r="B995" s="4"/>
      <c r="C995" s="4"/>
      <c r="D995" s="4"/>
      <c r="E995" s="4"/>
      <c r="F995" s="4"/>
    </row>
    <row r="996" spans="1:6" ht="15.75" customHeight="1" x14ac:dyDescent="0.3">
      <c r="A996" s="4"/>
      <c r="B996" s="4"/>
      <c r="C996" s="4"/>
      <c r="D996" s="4"/>
      <c r="E996" s="4"/>
      <c r="F996" s="4"/>
    </row>
    <row r="997" spans="1:6" ht="15.75" customHeight="1" x14ac:dyDescent="0.3">
      <c r="A997" s="4"/>
      <c r="B997" s="4"/>
      <c r="C997" s="4"/>
      <c r="D997" s="4"/>
      <c r="E997" s="4"/>
      <c r="F997" s="4"/>
    </row>
    <row r="998" spans="1:6" ht="15.75" customHeight="1" x14ac:dyDescent="0.3">
      <c r="A998" s="4"/>
      <c r="B998" s="4"/>
      <c r="C998" s="4"/>
      <c r="D998" s="4"/>
      <c r="E998" s="4"/>
      <c r="F998" s="4"/>
    </row>
    <row r="999" spans="1:6" ht="15.75" customHeight="1" x14ac:dyDescent="0.3">
      <c r="A999" s="4"/>
      <c r="B999" s="4"/>
      <c r="C999" s="4"/>
      <c r="D999" s="4"/>
      <c r="E999" s="4"/>
      <c r="F999" s="4"/>
    </row>
    <row r="1000" spans="1:6" ht="15.75" customHeight="1" x14ac:dyDescent="0.3">
      <c r="A1000" s="4"/>
      <c r="B1000" s="4"/>
      <c r="C1000" s="4"/>
      <c r="D1000" s="4"/>
      <c r="E1000" s="4"/>
      <c r="F1000" s="4"/>
    </row>
  </sheetData>
  <mergeCells count="2">
    <mergeCell ref="A2:F2"/>
    <mergeCell ref="A1:F1"/>
  </mergeCells>
  <phoneticPr fontId="14"/>
  <conditionalFormatting sqref="A5:F42">
    <cfRule type="expression" dxfId="0" priority="1">
      <formula>$E5&gt;0</formula>
    </cfRule>
  </conditionalFormatting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README</vt:lpstr>
      <vt:lpstr>TODO_Master</vt:lpstr>
      <vt:lpstr>Phase_Summary</vt:lpstr>
      <vt:lpstr>開発・運用フェーズ計画</vt:lpstr>
      <vt:lpstr>Agent_Checklist</vt:lpstr>
      <vt:lpstr>Stage_Gate</vt:lpstr>
      <vt:lpstr>Roadmap</vt:lpstr>
      <vt:lpstr>Risk_Holes</vt:lpstr>
      <vt:lpstr>RTM_要件カバレッジ</vt:lpstr>
      <vt:lpstr>RTM_章別サマリー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藤原 哲哉</cp:lastModifiedBy>
  <dcterms:created xsi:type="dcterms:W3CDTF">2026-04-20T15:39:14Z</dcterms:created>
  <dcterms:modified xsi:type="dcterms:W3CDTF">2026-04-26T06:17:27Z</dcterms:modified>
</cp:coreProperties>
</file>